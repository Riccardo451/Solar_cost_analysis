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riccardo/Downloads/"/>
    </mc:Choice>
  </mc:AlternateContent>
  <xr:revisionPtr revIDLastSave="0" documentId="13_ncr:1_{576D9758-F137-2F4A-B0E1-564D87CA8114}" xr6:coauthVersionLast="47" xr6:coauthVersionMax="47" xr10:uidLastSave="{00000000-0000-0000-0000-000000000000}"/>
  <bookViews>
    <workbookView xWindow="0" yWindow="500" windowWidth="33600" windowHeight="18780" tabRatio="500" xr2:uid="{00000000-000D-0000-FFFF-FFFF00000000}"/>
  </bookViews>
  <sheets>
    <sheet name="📋 Parametri" sheetId="1" r:id="rId1"/>
    <sheet name="📊 Modello Annuale" sheetId="2" r:id="rId2"/>
    <sheet name="🏆 KPI &amp; Scenari" sheetId="3" r:id="rId3"/>
    <sheet name="📈 Grafici" sheetId="4" r:id="rId4"/>
    <sheet name="🔧 Tabelle Riferiment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C13" i="1"/>
  <c r="K17" i="2" s="1"/>
  <c r="C15" i="1"/>
  <c r="K13" i="2"/>
  <c r="F38" i="3"/>
  <c r="E38" i="3"/>
  <c r="D38" i="3"/>
  <c r="C38" i="3"/>
  <c r="F37" i="3"/>
  <c r="E37" i="3"/>
  <c r="D37" i="3"/>
  <c r="C37" i="3"/>
  <c r="F36" i="3"/>
  <c r="E36" i="3"/>
  <c r="D36" i="3"/>
  <c r="C36" i="3"/>
  <c r="F35" i="3"/>
  <c r="E35" i="3"/>
  <c r="D35" i="3"/>
  <c r="C35" i="3"/>
  <c r="F34" i="3"/>
  <c r="E34" i="3"/>
  <c r="D34" i="3"/>
  <c r="C34" i="3"/>
  <c r="C7" i="3"/>
  <c r="K28" i="2"/>
  <c r="J28" i="2"/>
  <c r="F28" i="2"/>
  <c r="E28" i="2"/>
  <c r="B28" i="2"/>
  <c r="K27" i="2"/>
  <c r="J27" i="2"/>
  <c r="F27" i="2"/>
  <c r="E27" i="2"/>
  <c r="B27" i="2"/>
  <c r="K26" i="2"/>
  <c r="J26" i="2"/>
  <c r="F26" i="2"/>
  <c r="E26" i="2"/>
  <c r="B26" i="2"/>
  <c r="C26" i="2" s="1"/>
  <c r="G26" i="2" s="1"/>
  <c r="K25" i="2"/>
  <c r="J25" i="2"/>
  <c r="F25" i="2"/>
  <c r="E25" i="2"/>
  <c r="B25" i="2"/>
  <c r="C25" i="2" s="1"/>
  <c r="G25" i="2" s="1"/>
  <c r="K24" i="2"/>
  <c r="J24" i="2"/>
  <c r="F24" i="2"/>
  <c r="E24" i="2"/>
  <c r="B24" i="2"/>
  <c r="C24" i="2" s="1"/>
  <c r="G24" i="2" s="1"/>
  <c r="K23" i="2"/>
  <c r="J23" i="2"/>
  <c r="F23" i="2"/>
  <c r="E23" i="2"/>
  <c r="B23" i="2"/>
  <c r="K22" i="2"/>
  <c r="J22" i="2"/>
  <c r="F22" i="2"/>
  <c r="E22" i="2"/>
  <c r="B22" i="2"/>
  <c r="C22" i="2" s="1"/>
  <c r="K21" i="2"/>
  <c r="J21" i="2"/>
  <c r="F21" i="2"/>
  <c r="E21" i="2"/>
  <c r="B21" i="2"/>
  <c r="C21" i="2" s="1"/>
  <c r="G21" i="2" s="1"/>
  <c r="K20" i="2"/>
  <c r="J20" i="2"/>
  <c r="F20" i="2"/>
  <c r="E20" i="2"/>
  <c r="B20" i="2"/>
  <c r="K19" i="2"/>
  <c r="J19" i="2"/>
  <c r="F19" i="2"/>
  <c r="E19" i="2"/>
  <c r="B19" i="2"/>
  <c r="K18" i="2"/>
  <c r="J18" i="2"/>
  <c r="F18" i="2"/>
  <c r="E18" i="2"/>
  <c r="B18" i="2"/>
  <c r="C18" i="2" s="1"/>
  <c r="J17" i="2"/>
  <c r="F17" i="2"/>
  <c r="E17" i="2"/>
  <c r="B17" i="2"/>
  <c r="C17" i="2" s="1"/>
  <c r="K16" i="2"/>
  <c r="J16" i="2"/>
  <c r="F16" i="2"/>
  <c r="E16" i="2"/>
  <c r="B16" i="2"/>
  <c r="K15" i="2"/>
  <c r="J15" i="2"/>
  <c r="F15" i="2"/>
  <c r="E15" i="2"/>
  <c r="B15" i="2"/>
  <c r="K14" i="2"/>
  <c r="J14" i="2"/>
  <c r="F14" i="2"/>
  <c r="E14" i="2"/>
  <c r="B14" i="2"/>
  <c r="C14" i="2" s="1"/>
  <c r="J13" i="2"/>
  <c r="F13" i="2"/>
  <c r="E13" i="2"/>
  <c r="B13" i="2"/>
  <c r="C13" i="2" s="1"/>
  <c r="G13" i="2" s="1"/>
  <c r="K12" i="2"/>
  <c r="J12" i="2"/>
  <c r="F12" i="2"/>
  <c r="E12" i="2"/>
  <c r="B12" i="2"/>
  <c r="C12" i="2" s="1"/>
  <c r="G12" i="2" s="1"/>
  <c r="K11" i="2"/>
  <c r="J11" i="2"/>
  <c r="F11" i="2"/>
  <c r="E11" i="2"/>
  <c r="B11" i="2"/>
  <c r="C11" i="2" s="1"/>
  <c r="G11" i="2" s="1"/>
  <c r="K10" i="2"/>
  <c r="J10" i="2"/>
  <c r="F10" i="2"/>
  <c r="E10" i="2"/>
  <c r="B10" i="2"/>
  <c r="K9" i="2"/>
  <c r="J9" i="2"/>
  <c r="F9" i="2"/>
  <c r="E9" i="2"/>
  <c r="B9" i="2"/>
  <c r="C9" i="2" s="1"/>
  <c r="G9" i="2" s="1"/>
  <c r="K8" i="2"/>
  <c r="J8" i="2"/>
  <c r="F8" i="2"/>
  <c r="E8" i="2"/>
  <c r="B8" i="2"/>
  <c r="K7" i="2"/>
  <c r="J7" i="2"/>
  <c r="F7" i="2"/>
  <c r="E7" i="2"/>
  <c r="B7" i="2"/>
  <c r="K6" i="2"/>
  <c r="J6" i="2"/>
  <c r="F6" i="2"/>
  <c r="E6" i="2"/>
  <c r="B6" i="2"/>
  <c r="C6" i="2" s="1"/>
  <c r="G6" i="2" s="1"/>
  <c r="K5" i="2"/>
  <c r="J5" i="2"/>
  <c r="F5" i="2"/>
  <c r="E5" i="2"/>
  <c r="B5" i="2"/>
  <c r="C5" i="2" s="1"/>
  <c r="G5" i="2" s="1"/>
  <c r="K4" i="2"/>
  <c r="J4" i="2"/>
  <c r="F4" i="2"/>
  <c r="E4" i="2"/>
  <c r="B29" i="2" l="1"/>
  <c r="K29" i="2"/>
  <c r="G18" i="2"/>
  <c r="D18" i="2"/>
  <c r="H18" i="2" s="1"/>
  <c r="D17" i="2"/>
  <c r="H17" i="2" s="1"/>
  <c r="G17" i="2"/>
  <c r="D24" i="2"/>
  <c r="H24" i="2" s="1"/>
  <c r="I24" i="2" s="1"/>
  <c r="L24" i="2" s="1"/>
  <c r="C10" i="2"/>
  <c r="G10" i="2" s="1"/>
  <c r="C8" i="2"/>
  <c r="G8" i="2" s="1"/>
  <c r="D26" i="2"/>
  <c r="H26" i="2" s="1"/>
  <c r="I26" i="2" s="1"/>
  <c r="L26" i="2" s="1"/>
  <c r="J29" i="2"/>
  <c r="C15" i="3"/>
  <c r="C14" i="3"/>
  <c r="C6" i="3"/>
  <c r="D22" i="2"/>
  <c r="H22" i="2" s="1"/>
  <c r="G22" i="2"/>
  <c r="D14" i="2"/>
  <c r="H14" i="2" s="1"/>
  <c r="G14" i="2"/>
  <c r="D11" i="2"/>
  <c r="H11" i="2" s="1"/>
  <c r="I11" i="2" s="1"/>
  <c r="L11" i="2" s="1"/>
  <c r="D9" i="2"/>
  <c r="H9" i="2" s="1"/>
  <c r="I9" i="2" s="1"/>
  <c r="L9" i="2" s="1"/>
  <c r="D25" i="2"/>
  <c r="H25" i="2" s="1"/>
  <c r="I25" i="2" s="1"/>
  <c r="L25" i="2" s="1"/>
  <c r="C4" i="3"/>
  <c r="C4" i="2"/>
  <c r="D5" i="2"/>
  <c r="H5" i="2" s="1"/>
  <c r="I5" i="2" s="1"/>
  <c r="L5" i="2" s="1"/>
  <c r="C20" i="2"/>
  <c r="G20" i="2" s="1"/>
  <c r="D21" i="2"/>
  <c r="H21" i="2" s="1"/>
  <c r="I21" i="2" s="1"/>
  <c r="L21" i="2" s="1"/>
  <c r="C19" i="2"/>
  <c r="G19" i="2" s="1"/>
  <c r="C5" i="3"/>
  <c r="D13" i="2"/>
  <c r="H13" i="2" s="1"/>
  <c r="I13" i="2" s="1"/>
  <c r="L13" i="2" s="1"/>
  <c r="D6" i="2"/>
  <c r="H6" i="2" s="1"/>
  <c r="I6" i="2" s="1"/>
  <c r="L6" i="2" s="1"/>
  <c r="C16" i="2"/>
  <c r="G16" i="2" s="1"/>
  <c r="C15" i="2"/>
  <c r="G15" i="2" s="1"/>
  <c r="C28" i="2"/>
  <c r="G28" i="2" s="1"/>
  <c r="D12" i="2"/>
  <c r="H12" i="2" s="1"/>
  <c r="I12" i="2" s="1"/>
  <c r="L12" i="2" s="1"/>
  <c r="C27" i="2"/>
  <c r="G27" i="2" s="1"/>
  <c r="C7" i="2"/>
  <c r="G7" i="2" s="1"/>
  <c r="C23" i="2"/>
  <c r="G23" i="2" s="1"/>
  <c r="I17" i="2" l="1"/>
  <c r="L17" i="2" s="1"/>
  <c r="D4" i="2"/>
  <c r="C29" i="2"/>
  <c r="I14" i="2"/>
  <c r="L14" i="2" s="1"/>
  <c r="I22" i="2"/>
  <c r="L22" i="2" s="1"/>
  <c r="P22" i="2" s="1"/>
  <c r="D23" i="2"/>
  <c r="H23" i="2" s="1"/>
  <c r="D20" i="2"/>
  <c r="H20" i="2" s="1"/>
  <c r="I20" i="2" s="1"/>
  <c r="L20" i="2" s="1"/>
  <c r="D28" i="2"/>
  <c r="H28" i="2" s="1"/>
  <c r="I28" i="2" s="1"/>
  <c r="L28" i="2" s="1"/>
  <c r="D8" i="2"/>
  <c r="H8" i="2" s="1"/>
  <c r="I8" i="2" s="1"/>
  <c r="L8" i="2" s="1"/>
  <c r="D10" i="2"/>
  <c r="H10" i="2" s="1"/>
  <c r="I10" i="2" s="1"/>
  <c r="L10" i="2" s="1"/>
  <c r="D7" i="2"/>
  <c r="H7" i="2" s="1"/>
  <c r="I7" i="2" s="1"/>
  <c r="L7" i="2" s="1"/>
  <c r="I18" i="2"/>
  <c r="L18" i="2" s="1"/>
  <c r="P13" i="2"/>
  <c r="N13" i="2"/>
  <c r="N21" i="2"/>
  <c r="P21" i="2"/>
  <c r="P9" i="2"/>
  <c r="N9" i="2"/>
  <c r="P12" i="2"/>
  <c r="N12" i="2"/>
  <c r="P11" i="2"/>
  <c r="N11" i="2"/>
  <c r="P6" i="2"/>
  <c r="N6" i="2"/>
  <c r="P25" i="2"/>
  <c r="N25" i="2"/>
  <c r="P26" i="2"/>
  <c r="N26" i="2"/>
  <c r="H4" i="2"/>
  <c r="D27" i="2"/>
  <c r="H27" i="2" s="1"/>
  <c r="I27" i="2" s="1"/>
  <c r="L27" i="2" s="1"/>
  <c r="D19" i="2"/>
  <c r="H19" i="2" s="1"/>
  <c r="I19" i="2" s="1"/>
  <c r="L19" i="2" s="1"/>
  <c r="N5" i="2"/>
  <c r="P5" i="2"/>
  <c r="D15" i="2"/>
  <c r="H15" i="2" s="1"/>
  <c r="I15" i="2" s="1"/>
  <c r="L15" i="2" s="1"/>
  <c r="D16" i="2"/>
  <c r="H16" i="2" s="1"/>
  <c r="I16" i="2" s="1"/>
  <c r="L16" i="2" s="1"/>
  <c r="P24" i="2"/>
  <c r="N24" i="2"/>
  <c r="N17" i="2"/>
  <c r="P17" i="2"/>
  <c r="P14" i="2"/>
  <c r="N14" i="2"/>
  <c r="G4" i="2"/>
  <c r="I23" i="2"/>
  <c r="L23" i="2" s="1"/>
  <c r="N22" i="2" l="1"/>
  <c r="P10" i="2"/>
  <c r="N10" i="2"/>
  <c r="N8" i="2"/>
  <c r="P8" i="2"/>
  <c r="N18" i="2"/>
  <c r="P18" i="2"/>
  <c r="P15" i="2"/>
  <c r="N15" i="2"/>
  <c r="P19" i="2"/>
  <c r="N19" i="2"/>
  <c r="P7" i="2"/>
  <c r="N7" i="2"/>
  <c r="P28" i="2"/>
  <c r="N28" i="2"/>
  <c r="P27" i="2"/>
  <c r="N27" i="2"/>
  <c r="N16" i="2"/>
  <c r="P16" i="2"/>
  <c r="P23" i="2"/>
  <c r="N23" i="2"/>
  <c r="G29" i="2"/>
  <c r="I4" i="2"/>
  <c r="H29" i="2"/>
  <c r="D29" i="2"/>
  <c r="P20" i="2"/>
  <c r="N20" i="2"/>
  <c r="I29" i="2" l="1"/>
  <c r="L4" i="2"/>
  <c r="M4" i="2" s="1"/>
  <c r="M5" i="2" l="1"/>
  <c r="M6" i="2" s="1"/>
  <c r="M7" i="2" s="1"/>
  <c r="M8" i="2" s="1"/>
  <c r="M9" i="2" s="1"/>
  <c r="M10" i="2" s="1"/>
  <c r="M11" i="2" s="1"/>
  <c r="M12" i="2" s="1"/>
  <c r="L29" i="2"/>
  <c r="N4" i="2"/>
  <c r="P4" i="2"/>
  <c r="C11" i="3" s="1"/>
  <c r="C13" i="3"/>
  <c r="C8" i="3"/>
  <c r="N29" i="2" l="1"/>
  <c r="O4" i="2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C10" i="3" s="1"/>
  <c r="C12" i="3"/>
  <c r="M13" i="2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C9" i="3" s="1"/>
</calcChain>
</file>

<file path=xl/sharedStrings.xml><?xml version="1.0" encoding="utf-8"?>
<sst xmlns="http://schemas.openxmlformats.org/spreadsheetml/2006/main" count="140" uniqueCount="132">
  <si>
    <t>☀  ANALISI AMMORTAMENTO IMPIANTO FOTOVOLTAICO</t>
  </si>
  <si>
    <t>Modifica i valori in BLU per personalizzare l'analisi</t>
  </si>
  <si>
    <t xml:space="preserve">  IMPIANTO</t>
  </si>
  <si>
    <t>Potenza installata (kWp)</t>
  </si>
  <si>
    <t>Kilowatt-picco totali installati</t>
  </si>
  <si>
    <t>Esposizione (1=Sud … vedi tabella)</t>
  </si>
  <si>
    <t>Fattore da tabella Riferimento (1.0=Sud, 0.74=Est)</t>
  </si>
  <si>
    <t>Ore picco equivalenti (h/anno)</t>
  </si>
  <si>
    <t>Nord IT: 1150 | Centro: 1350 | Sud: 1500 | Sicilia: 1600</t>
  </si>
  <si>
    <t>Performance Ratio</t>
  </si>
  <si>
    <t>Perdite reali: cablaggio, calore, inverter (0.75–0.85)</t>
  </si>
  <si>
    <t>Degrado annuo pannelli</t>
  </si>
  <si>
    <t>Perdita efficienza/anno composta (0.4–0.8%)</t>
  </si>
  <si>
    <t xml:space="preserve">  COSTI</t>
  </si>
  <si>
    <t>Costo impianto (€)</t>
  </si>
  <si>
    <t>Pannelli + inverter + struttura + manodopera</t>
  </si>
  <si>
    <t>Costo batteria/accumulo (€)</t>
  </si>
  <si>
    <t>0 se non presente. Indicativo: ~600 €/kWh capacità</t>
  </si>
  <si>
    <t>Manutenzione annua (€)</t>
  </si>
  <si>
    <t>Pulizia, assicurazione, piccoli interventi</t>
  </si>
  <si>
    <t>Anno sostituzione inverter</t>
  </si>
  <si>
    <t>Vita media inverter: 10–15 anni</t>
  </si>
  <si>
    <t>Costo sostituzione inverter (€)</t>
  </si>
  <si>
    <t>Indicativo: 150–300 €/kWp</t>
  </si>
  <si>
    <t xml:space="preserve">  ENERGIA</t>
  </si>
  <si>
    <t>Prezzo acquisto energia (€/kWh)</t>
  </si>
  <si>
    <t>Tariffa in bolletta incl. oneri e tasse</t>
  </si>
  <si>
    <t>Prezzo vendita energia (€/kWh)</t>
  </si>
  <si>
    <t>Ritiro dedicato GSE (tipico: 0.05–0.12 €/kWh)</t>
  </si>
  <si>
    <t>Autoconsumo (%)</t>
  </si>
  <si>
    <t>Quota produzione usata in casa (senza batt: 25–45%)</t>
  </si>
  <si>
    <t>Incremento annuo prezzo energia</t>
  </si>
  <si>
    <t>Aumento annuo atteso (storico EU: 3–5%)</t>
  </si>
  <si>
    <t xml:space="preserve">  INCENTIVI &amp; FINANZA</t>
  </si>
  <si>
    <t>Aliquota detrazione IRPEF (%)</t>
  </si>
  <si>
    <t>50% (attuale IT) oppure 36%  →  0 per nessun incent.</t>
  </si>
  <si>
    <t>Anni detrazione</t>
  </si>
  <si>
    <t>Periodo di detrazione (normalmente 10 anni)</t>
  </si>
  <si>
    <t>Tasso di sconto (WACC / opport.)</t>
  </si>
  <si>
    <t>Costo opportunità capitale per NPV (2–4%)</t>
  </si>
  <si>
    <t>Orizzonte analisi (anni)</t>
  </si>
  <si>
    <t>Vita utile tipica pannelli: 25–30 anni</t>
  </si>
  <si>
    <t xml:space="preserve">  LEGENDA COLORI</t>
  </si>
  <si>
    <t xml:space="preserve">  Esempio</t>
  </si>
  <si>
    <t>123</t>
  </si>
  <si>
    <t>Cella di INPUT (testo blu) — inserisci il tuo valore</t>
  </si>
  <si>
    <t>Risultato calcolato — si aggiorna automaticamente</t>
  </si>
  <si>
    <t>MODELLO FINANZIARIO ANNUALE — IMPIANTO FOTOVOLTAICO</t>
  </si>
  <si>
    <t>PRODUZIONE  (kWh)</t>
  </si>
  <si>
    <t>PREZZI  (€/kWh)</t>
  </si>
  <si>
    <t>RICAVI  (€)</t>
  </si>
  <si>
    <t>COSTI  (€)</t>
  </si>
  <si>
    <t>FLUSSI CASSA  (€)</t>
  </si>
  <si>
    <t>FLUSSI ATTUALIZZATI  (€)</t>
  </si>
  <si>
    <t>Anno</t>
  </si>
  <si>
    <t>Tot. Prodotta</t>
  </si>
  <si>
    <t>Autoconsumata</t>
  </si>
  <si>
    <t>Immessa Rete</t>
  </si>
  <si>
    <t>P. Acquisto</t>
  </si>
  <si>
    <t>P. Vendita</t>
  </si>
  <si>
    <t>Risp. Autocons.</t>
  </si>
  <si>
    <t>Ric. Immissione</t>
  </si>
  <si>
    <t>Beneficio Lordo</t>
  </si>
  <si>
    <t>Incentivo Fisc.</t>
  </si>
  <si>
    <t>Costi Oper.</t>
  </si>
  <si>
    <t>Flusso Netto</t>
  </si>
  <si>
    <t>Flusso Cumulato</t>
  </si>
  <si>
    <t>Flusso Att.</t>
  </si>
  <si>
    <t>Flusso Att. Cum.</t>
  </si>
  <si>
    <t>Flussi IRR</t>
  </si>
  <si>
    <t>TOTALE</t>
  </si>
  <si>
    <t>🏆  KPI PRINCIPALI &amp; ANALISI SCENARI</t>
  </si>
  <si>
    <t xml:space="preserve">  INDICATORI CHIAVE (Scenario Principale)</t>
  </si>
  <si>
    <t>Produzione Anno 1 (kWh)</t>
  </si>
  <si>
    <t>Produzione Anno 25 (kWh)</t>
  </si>
  <si>
    <t>Energia Totale 25 anni (MWh)</t>
  </si>
  <si>
    <t>Investimento Totale</t>
  </si>
  <si>
    <t>Beneficio Lordo Totale</t>
  </si>
  <si>
    <t>Flusso Cumulato Anno 25</t>
  </si>
  <si>
    <t>NPV (Valore Attuale Netto)</t>
  </si>
  <si>
    <t>IRR (Tasso Interno Rendimento)</t>
  </si>
  <si>
    <t>Payback Period (anni)</t>
  </si>
  <si>
    <t>ROI Totale 25 anni</t>
  </si>
  <si>
    <t>CO₂ Risparmiata (tonnellate)</t>
  </si>
  <si>
    <t>Alberi Equivalenti</t>
  </si>
  <si>
    <t xml:space="preserve">  ANALISI SCENARI — confronta diverse ipotesi (valori in BLU modificabili)</t>
  </si>
  <si>
    <t>Parametro</t>
  </si>
  <si>
    <t>Scenario Base</t>
  </si>
  <si>
    <t>Ottimistico</t>
  </si>
  <si>
    <t>Con Batteria</t>
  </si>
  <si>
    <t>Pessimistico</t>
  </si>
  <si>
    <t>Potenza (kWp)</t>
  </si>
  <si>
    <t>Fattore Esposizione</t>
  </si>
  <si>
    <t>Ore Picco (h/anno)</t>
  </si>
  <si>
    <t>Degrado Annuo</t>
  </si>
  <si>
    <t>Costo Impianto (€)</t>
  </si>
  <si>
    <t>Costo Batteria (€)</t>
  </si>
  <si>
    <t>Prezzo Acquisto €/kWh</t>
  </si>
  <si>
    <t>Autoconsumo %</t>
  </si>
  <si>
    <t>Incr. Prezzo Energia</t>
  </si>
  <si>
    <t>Detrazione IRPEF</t>
  </si>
  <si>
    <t xml:space="preserve">  RISULTATI SCENARI  (calcolati)</t>
  </si>
  <si>
    <t>Metrica</t>
  </si>
  <si>
    <t>Investimento Totale (€)</t>
  </si>
  <si>
    <t>Payback Approx. (anni)</t>
  </si>
  <si>
    <t>Beneficio Anno 1 (€)</t>
  </si>
  <si>
    <t>CO₂ Risparm. 25a (t)</t>
  </si>
  <si>
    <t>📈  GRAFICI — I grafici si aggiornano automaticamente al variare dei parametri</t>
  </si>
  <si>
    <t>🔧  TABELLE DI RIFERIMENTO — Valori da usare nei Parametri</t>
  </si>
  <si>
    <t xml:space="preserve">  FATTORE ESPOSIZIONE (da inserire in C6)</t>
  </si>
  <si>
    <t xml:space="preserve">  ORE PICCO PER ZONA (da inserire in C7)</t>
  </si>
  <si>
    <t>Sud</t>
  </si>
  <si>
    <t>Nord Italia (Milano/Torino)</t>
  </si>
  <si>
    <t>Sud-Est</t>
  </si>
  <si>
    <t>Centro Italia (Roma/Firenze)</t>
  </si>
  <si>
    <t>Sud-Ovest</t>
  </si>
  <si>
    <t>Sud Italia (Napoli/Bari)</t>
  </si>
  <si>
    <t>Est</t>
  </si>
  <si>
    <t>Sicilia / Sardegna</t>
  </si>
  <si>
    <t>Ovest</t>
  </si>
  <si>
    <t>Nord-Est</t>
  </si>
  <si>
    <t>Nord-Ovest</t>
  </si>
  <si>
    <t>Nord</t>
  </si>
  <si>
    <t xml:space="preserve">  NOTE METODOLOGICHE</t>
  </si>
  <si>
    <t xml:space="preserve">  1.  Produzione = Potenza(kWp) × OrePicco × FattoreEsposizione × PerformanceRatio × (1–Degrado)^(anno–1)</t>
  </si>
  <si>
    <t xml:space="preserve">  2.  Beneficio = Autoconsumata × PrezzoAcquisto + Immessa × PrezzoVendita</t>
  </si>
  <si>
    <t xml:space="preserve">  3.  Il prezzo energia cresce ogni anno al tasso 'Incremento annuo' (formula composta)</t>
  </si>
  <si>
    <t xml:space="preserve">  4.  Incentivo IRPEF: il 50% del costo impianto viene detratto in quote uguali nei primi 10 anni</t>
  </si>
  <si>
    <t xml:space="preserve">  5.  NPV = somma dei flussi annui attualizzati al tasso di sconto, al netto dell'investimento iniziale</t>
  </si>
  <si>
    <t xml:space="preserve">  6.  IRR = tasso che rende NPV=0; confrontarlo con il rendimento di investimenti alternativi</t>
  </si>
  <si>
    <t xml:space="preserve">  7.  Payback = anno in cui il flusso cumulato diventa positivo (valore approssimato al numero intero)</t>
  </si>
  <si>
    <t xml:space="preserve">  8.  CO₂ risparmiata basata su fattore emissivo medio italiano 0.233 kg CO₂/kWh (fonte: ISPRA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</si>
</sst>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%;\-0.0%;\-"/>
    <numFmt numFmtId="166" formatCode="\€#,##0;&quot;(€&quot;#,##0\);\-"/>
    <numFmt numFmtId="167" formatCode="\€0.000"/>
    <numFmt numFmtId="168" formatCode="#,##0.0"/>
    <numFmt numFmtId="169" formatCode="0.00%;\-0.00%;\-"/>
  </numFmts>
  <fonts count="16" x14ac:knownFonts="1">
    <font>
      <sz val="11"/>
      <color theme="1"/>
      <name val="Calibri"/>
      <family val="2"/>
      <charset val="1"/>
    </font>
    <font>
      <sz val="10"/>
      <name val="Arial"/>
    </font>
    <font>
      <b/>
      <sz val="16"/>
      <color rgb="FFFFFFFF"/>
      <name val="Arial"/>
      <charset val="1"/>
    </font>
    <font>
      <i/>
      <sz val="10"/>
      <color rgb="FF40404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666666"/>
      <name val="Arial"/>
      <charset val="1"/>
    </font>
    <font>
      <i/>
      <sz val="9"/>
      <color rgb="FF000000"/>
      <name val="Arial"/>
      <charset val="1"/>
    </font>
    <font>
      <b/>
      <sz val="10"/>
      <color rgb="FF1E8449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3CD"/>
        <bgColor rgb="FFF2F2F2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9F9F9"/>
      </patternFill>
    </fill>
    <fill>
      <patternFill patternType="solid">
        <fgColor rgb="FFD5F5E3"/>
        <bgColor rgb="FFD6E4F0"/>
      </patternFill>
    </fill>
    <fill>
      <patternFill patternType="solid">
        <fgColor rgb="FF404040"/>
        <bgColor rgb="FF1F3864"/>
      </patternFill>
    </fill>
    <fill>
      <patternFill patternType="solid">
        <fgColor rgb="FFD6E4F0"/>
        <bgColor rgb="FFD9D9D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56">
    <xf numFmtId="0" fontId="0" fillId="0" borderId="0" xfId="0"/>
    <xf numFmtId="0" fontId="8" fillId="5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5" fillId="5" borderId="2" xfId="0" applyFont="1" applyFill="1" applyBorder="1" applyAlignment="1">
      <alignment horizontal="left" vertical="center"/>
    </xf>
    <xf numFmtId="4" fontId="6" fillId="6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2" fontId="6" fillId="6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wrapText="1"/>
    </xf>
    <xf numFmtId="3" fontId="6" fillId="6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>
      <alignment horizontal="center" vertical="center"/>
    </xf>
    <xf numFmtId="167" fontId="6" fillId="6" borderId="2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11" fillId="9" borderId="0" xfId="0" applyFont="1" applyFill="1"/>
    <xf numFmtId="0" fontId="12" fillId="10" borderId="2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right" vertical="center"/>
    </xf>
    <xf numFmtId="167" fontId="0" fillId="10" borderId="2" xfId="0" applyNumberFormat="1" applyFill="1" applyBorder="1" applyAlignment="1">
      <alignment horizontal="right" vertical="center"/>
    </xf>
    <xf numFmtId="166" fontId="0" fillId="10" borderId="2" xfId="0" applyNumberFormat="1" applyFill="1" applyBorder="1" applyAlignment="1">
      <alignment horizontal="right" vertical="center"/>
    </xf>
    <xf numFmtId="0" fontId="0" fillId="0" borderId="0" xfId="0"/>
    <xf numFmtId="0" fontId="12" fillId="5" borderId="2" xfId="0" applyFon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right" vertical="center"/>
    </xf>
    <xf numFmtId="167" fontId="0" fillId="5" borderId="2" xfId="0" applyNumberFormat="1" applyFill="1" applyBorder="1" applyAlignment="1">
      <alignment horizontal="right" vertical="center"/>
    </xf>
    <xf numFmtId="166" fontId="0" fillId="5" borderId="2" xfId="0" applyNumberFormat="1" applyFill="1" applyBorder="1" applyAlignment="1">
      <alignment horizontal="right" vertical="center"/>
    </xf>
    <xf numFmtId="166" fontId="0" fillId="0" borderId="0" xfId="0" applyNumberFormat="1"/>
    <xf numFmtId="0" fontId="12" fillId="3" borderId="0" xfId="0" applyFont="1" applyFill="1" applyAlignment="1">
      <alignment horizontal="center" vertical="center"/>
    </xf>
    <xf numFmtId="3" fontId="12" fillId="3" borderId="4" xfId="0" applyNumberFormat="1" applyFont="1" applyFill="1" applyBorder="1" applyAlignment="1"/>
    <xf numFmtId="166" fontId="12" fillId="3" borderId="4" xfId="0" applyNumberFormat="1" applyFont="1" applyFill="1" applyBorder="1" applyAlignment="1"/>
    <xf numFmtId="3" fontId="9" fillId="8" borderId="4" xfId="0" applyNumberFormat="1" applyFont="1" applyFill="1" applyBorder="1" applyAlignment="1">
      <alignment horizontal="right" vertical="center"/>
    </xf>
    <xf numFmtId="168" fontId="9" fillId="8" borderId="4" xfId="0" applyNumberFormat="1" applyFont="1" applyFill="1" applyBorder="1" applyAlignment="1">
      <alignment horizontal="right" vertical="center"/>
    </xf>
    <xf numFmtId="166" fontId="9" fillId="8" borderId="4" xfId="0" applyNumberFormat="1" applyFont="1" applyFill="1" applyBorder="1" applyAlignment="1">
      <alignment horizontal="right" vertical="center"/>
    </xf>
    <xf numFmtId="169" fontId="9" fillId="8" borderId="4" xfId="0" applyNumberFormat="1" applyFont="1" applyFill="1" applyBorder="1" applyAlignment="1">
      <alignment horizontal="right" vertical="center"/>
    </xf>
    <xf numFmtId="165" fontId="9" fillId="8" borderId="4" xfId="0" applyNumberFormat="1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/>
    </xf>
    <xf numFmtId="3" fontId="6" fillId="6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3" fontId="9" fillId="8" borderId="3" xfId="0" applyNumberFormat="1" applyFont="1" applyFill="1" applyBorder="1" applyAlignment="1">
      <alignment horizontal="right" vertical="center"/>
    </xf>
    <xf numFmtId="166" fontId="9" fillId="8" borderId="3" xfId="0" applyNumberFormat="1" applyFont="1" applyFill="1" applyBorder="1" applyAlignment="1">
      <alignment horizontal="right" vertical="center"/>
    </xf>
    <xf numFmtId="168" fontId="9" fillId="8" borderId="3" xfId="0" applyNumberFormat="1" applyFont="1" applyFill="1" applyBorder="1" applyAlignment="1">
      <alignment horizontal="right" vertical="center"/>
    </xf>
    <xf numFmtId="2" fontId="6" fillId="6" borderId="3" xfId="0" applyNumberFormat="1" applyFont="1" applyFill="1" applyBorder="1" applyAlignment="1">
      <alignment horizontal="center" vertical="center"/>
    </xf>
    <xf numFmtId="9" fontId="15" fillId="11" borderId="2" xfId="1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CCCCC"/>
      <rgbColor rgb="FF878787"/>
      <rgbColor rgb="FF60A5FA"/>
      <rgbColor rgb="FFC0504D"/>
      <rgbColor rgb="FFFFF3CD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9F9F9"/>
      <rgbColor rgb="FF99CCFF"/>
      <rgbColor rgb="FFFF99CC"/>
      <rgbColor rgb="FFCC99FF"/>
      <rgbColor rgb="FFFFCC99"/>
      <rgbColor rgb="FF2E75B6"/>
      <rgbColor rgb="FF4ADE80"/>
      <rgbColor rgb="FF9BBB59"/>
      <rgbColor rgb="FFF5C542"/>
      <rgbColor rgb="FFFB923C"/>
      <rgbColor rgb="FFFF6600"/>
      <rgbColor rgb="FF8064A2"/>
      <rgbColor rgb="FF888888"/>
      <rgbColor rgb="FF1F3864"/>
      <rgbColor rgb="FF1E8449"/>
      <rgbColor rgb="FF003300"/>
      <rgbColor rgb="FF333300"/>
      <rgbColor rgb="FF8B4513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Flusso di Cassa Cumulato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Flusso Cumulato</c:v>
          </c:tx>
          <c:spPr>
            <a:ln w="24840">
              <a:solidFill>
                <a:srgbClr val="F5C5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Annuale'!$M$4:$M$28</c:f>
              <c:numCache>
                <c:formatCode>\€#,##0;"(€"#,##0\);\-</c:formatCode>
                <c:ptCount val="25"/>
                <c:pt idx="0">
                  <c:v>-10555.2</c:v>
                </c:pt>
                <c:pt idx="1">
                  <c:v>-9086.4247200000009</c:v>
                </c:pt>
                <c:pt idx="2">
                  <c:v>-7593.0783742920012</c:v>
                </c:pt>
                <c:pt idx="3">
                  <c:v>-6074.5503718931577</c:v>
                </c:pt>
                <c:pt idx="4">
                  <c:v>-4530.2149486347025</c:v>
                </c:pt>
                <c:pt idx="5">
                  <c:v>-2959.4307901082748</c:v>
                </c:pt>
                <c:pt idx="6">
                  <c:v>-1361.5406452424652</c:v>
                </c:pt>
                <c:pt idx="7">
                  <c:v>264.12906972325959</c:v>
                </c:pt>
                <c:pt idx="8">
                  <c:v>1918.2686771058825</c:v>
                </c:pt>
                <c:pt idx="9">
                  <c:v>3601.5856537319632</c:v>
                </c:pt>
                <c:pt idx="10">
                  <c:v>4714.8050572272023</c:v>
                </c:pt>
                <c:pt idx="11">
                  <c:v>5858.6699628992983</c:v>
                </c:pt>
                <c:pt idx="12">
                  <c:v>5833.9419114773464</c:v>
                </c:pt>
                <c:pt idx="13">
                  <c:v>7041.401367977558</c:v>
                </c:pt>
                <c:pt idx="14">
                  <c:v>8281.8481919717997</c:v>
                </c:pt>
                <c:pt idx="15">
                  <c:v>9556.1021195422982</c:v>
                </c:pt>
                <c:pt idx="16">
                  <c:v>10865.003257212924</c:v>
                </c:pt>
                <c:pt idx="17">
                  <c:v>12209.412588154664</c:v>
                </c:pt>
                <c:pt idx="18">
                  <c:v>13590.212490970307</c:v>
                </c:pt>
                <c:pt idx="19">
                  <c:v>15008.307271370919</c:v>
                </c:pt>
                <c:pt idx="20">
                  <c:v>16464.623707064486</c:v>
                </c:pt>
                <c:pt idx="21">
                  <c:v>17960.111606185037</c:v>
                </c:pt>
                <c:pt idx="22">
                  <c:v>19495.744379598735</c:v>
                </c:pt>
                <c:pt idx="23">
                  <c:v>21072.519627431764</c:v>
                </c:pt>
                <c:pt idx="24">
                  <c:v>22691.459740173443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D8-AA4B-8674-3F7DFEF5DF44}"/>
            </c:ext>
          </c:extLst>
        </c:ser>
        <c:ser>
          <c:idx val="1"/>
          <c:order val="1"/>
          <c:tx>
            <c:v>Flusso Attualizzato Cum.</c:v>
          </c:tx>
          <c:spPr>
            <a:ln w="20160">
              <a:solidFill>
                <a:srgbClr val="4ADE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Annuale'!$O$4:$O$28</c:f>
              <c:numCache>
                <c:formatCode>\€#,##0;"(€"#,##0\);\-</c:formatCode>
                <c:ptCount val="25"/>
                <c:pt idx="0">
                  <c:v>-10597.281553398057</c:v>
                </c:pt>
                <c:pt idx="1">
                  <c:v>-9212.8199830332724</c:v>
                </c:pt>
                <c:pt idx="2">
                  <c:v>-7846.1965302330764</c:v>
                </c:pt>
                <c:pt idx="3">
                  <c:v>-6497.0040682044191</c:v>
                </c:pt>
                <c:pt idx="4">
                  <c:v>-5164.846766066039</c:v>
                </c:pt>
                <c:pt idx="5">
                  <c:v>-3849.3397626520741</c:v>
                </c:pt>
                <c:pt idx="6">
                  <c:v>-2550.1088498024828</c:v>
                </c:pt>
                <c:pt idx="7">
                  <c:v>-1266.7901648640359</c:v>
                </c:pt>
                <c:pt idx="8">
                  <c:v>0.97010786632404233</c:v>
                </c:pt>
                <c:pt idx="9">
                  <c:v>1253.5160270161439</c:v>
                </c:pt>
                <c:pt idx="10">
                  <c:v>2057.7294096236874</c:v>
                </c:pt>
                <c:pt idx="11">
                  <c:v>2860.0132401209285</c:v>
                </c:pt>
                <c:pt idx="12">
                  <c:v>2843.1746403697298</c:v>
                </c:pt>
                <c:pt idx="13">
                  <c:v>3641.4475868660925</c:v>
                </c:pt>
                <c:pt idx="14">
                  <c:v>4437.6432009571108</c:v>
                </c:pt>
                <c:pt idx="15">
                  <c:v>5231.7161207904282</c:v>
                </c:pt>
                <c:pt idx="16">
                  <c:v>6023.6228350660876</c:v>
                </c:pt>
                <c:pt idx="17">
                  <c:v>6813.3216264902803</c:v>
                </c:pt>
                <c:pt idx="18">
                  <c:v>7600.7725168893057</c:v>
                </c:pt>
                <c:pt idx="19">
                  <c:v>8385.93721393532</c:v>
                </c:pt>
                <c:pt idx="20">
                  <c:v>9168.7790594368653</c:v>
                </c:pt>
                <c:pt idx="21">
                  <c:v>9949.2629791485342</c:v>
                </c:pt>
                <c:pt idx="22">
                  <c:v>10727.355434055462</c:v>
                </c:pt>
                <c:pt idx="23">
                  <c:v>11503.02437308962</c:v>
                </c:pt>
                <c:pt idx="24">
                  <c:v>12276.239187236146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D8-AA4B-8674-3F7DFEF5D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119285"/>
        <c:axId val="4016699"/>
      </c:lineChart>
      <c:catAx>
        <c:axId val="441192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Anno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4016699"/>
        <c:crosses val="autoZero"/>
        <c:auto val="1"/>
        <c:lblAlgn val="ctr"/>
        <c:lblOffset val="100"/>
        <c:noMultiLvlLbl val="0"/>
      </c:catAx>
      <c:valAx>
        <c:axId val="4016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;&quot;(€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441192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Produzione Annuale kWh (con degrado)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Tot. Prodotta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Annuale'!$B$4:$B$28</c:f>
              <c:numCache>
                <c:formatCode>#,##0</c:formatCode>
                <c:ptCount val="25"/>
                <c:pt idx="0">
                  <c:v>5760</c:v>
                </c:pt>
                <c:pt idx="1">
                  <c:v>5731.2</c:v>
                </c:pt>
                <c:pt idx="2">
                  <c:v>5702.5439999999999</c:v>
                </c:pt>
                <c:pt idx="3">
                  <c:v>5674.0312800000002</c:v>
                </c:pt>
                <c:pt idx="4">
                  <c:v>5645.6611236000008</c:v>
                </c:pt>
                <c:pt idx="5">
                  <c:v>5617.4328179820004</c:v>
                </c:pt>
                <c:pt idx="6">
                  <c:v>5589.3456538920909</c:v>
                </c:pt>
                <c:pt idx="7">
                  <c:v>5561.3989256226296</c:v>
                </c:pt>
                <c:pt idx="8">
                  <c:v>5533.5919309945166</c:v>
                </c:pt>
                <c:pt idx="9">
                  <c:v>5505.9239713395436</c:v>
                </c:pt>
                <c:pt idx="10">
                  <c:v>5478.394351482847</c:v>
                </c:pt>
                <c:pt idx="11">
                  <c:v>5451.0023797254316</c:v>
                </c:pt>
                <c:pt idx="12">
                  <c:v>5423.7473678268052</c:v>
                </c:pt>
                <c:pt idx="13">
                  <c:v>5396.6286309876714</c:v>
                </c:pt>
                <c:pt idx="14">
                  <c:v>5369.6454878327331</c:v>
                </c:pt>
                <c:pt idx="15">
                  <c:v>5342.7972603935696</c:v>
                </c:pt>
                <c:pt idx="16">
                  <c:v>5316.0832740916012</c:v>
                </c:pt>
                <c:pt idx="17">
                  <c:v>5289.5028577211433</c:v>
                </c:pt>
                <c:pt idx="18">
                  <c:v>5263.0553434325375</c:v>
                </c:pt>
                <c:pt idx="19">
                  <c:v>5236.7400667153752</c:v>
                </c:pt>
                <c:pt idx="20">
                  <c:v>5210.5563663817984</c:v>
                </c:pt>
                <c:pt idx="21">
                  <c:v>5184.5035845498896</c:v>
                </c:pt>
                <c:pt idx="22">
                  <c:v>5158.58106662714</c:v>
                </c:pt>
                <c:pt idx="23">
                  <c:v>5132.7881612940037</c:v>
                </c:pt>
                <c:pt idx="24">
                  <c:v>5107.1242204875343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E-E54D-A686-E25CF7DB2C26}"/>
            </c:ext>
          </c:extLst>
        </c:ser>
        <c:ser>
          <c:idx val="1"/>
          <c:order val="1"/>
          <c:tx>
            <c:v>Autoconsumata</c:v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Annuale'!$C$4:$C$28</c:f>
              <c:numCache>
                <c:formatCode>#,##0</c:formatCode>
                <c:ptCount val="25"/>
                <c:pt idx="0">
                  <c:v>2592</c:v>
                </c:pt>
                <c:pt idx="1">
                  <c:v>2579.04</c:v>
                </c:pt>
                <c:pt idx="2">
                  <c:v>2566.1448</c:v>
                </c:pt>
                <c:pt idx="3">
                  <c:v>2553.3140760000001</c:v>
                </c:pt>
                <c:pt idx="4">
                  <c:v>2540.5475056200003</c:v>
                </c:pt>
                <c:pt idx="5">
                  <c:v>2527.8447680919003</c:v>
                </c:pt>
                <c:pt idx="6">
                  <c:v>2515.2055442514411</c:v>
                </c:pt>
                <c:pt idx="7">
                  <c:v>2502.6295165301835</c:v>
                </c:pt>
                <c:pt idx="8">
                  <c:v>2490.1163689475325</c:v>
                </c:pt>
                <c:pt idx="9">
                  <c:v>2477.6657871027946</c:v>
                </c:pt>
                <c:pt idx="10">
                  <c:v>2465.2774581672811</c:v>
                </c:pt>
                <c:pt idx="11">
                  <c:v>2452.9510708764442</c:v>
                </c:pt>
                <c:pt idx="12">
                  <c:v>2440.6863155220626</c:v>
                </c:pt>
                <c:pt idx="13">
                  <c:v>2428.4828839444522</c:v>
                </c:pt>
                <c:pt idx="14">
                  <c:v>2416.34046952473</c:v>
                </c:pt>
                <c:pt idx="15">
                  <c:v>2404.2587671771062</c:v>
                </c:pt>
                <c:pt idx="16">
                  <c:v>2392.2374733412207</c:v>
                </c:pt>
                <c:pt idx="17">
                  <c:v>2380.2762859745144</c:v>
                </c:pt>
                <c:pt idx="18">
                  <c:v>2368.374904544642</c:v>
                </c:pt>
                <c:pt idx="19">
                  <c:v>2356.5330300219189</c:v>
                </c:pt>
                <c:pt idx="20">
                  <c:v>2344.7503648718093</c:v>
                </c:pt>
                <c:pt idx="21">
                  <c:v>2333.0266130474506</c:v>
                </c:pt>
                <c:pt idx="22">
                  <c:v>2321.361479982213</c:v>
                </c:pt>
                <c:pt idx="23">
                  <c:v>2309.7546725823017</c:v>
                </c:pt>
                <c:pt idx="24">
                  <c:v>2298.2058992193906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E-E54D-A686-E25CF7DB2C26}"/>
            </c:ext>
          </c:extLst>
        </c:ser>
        <c:ser>
          <c:idx val="2"/>
          <c:order val="2"/>
          <c:tx>
            <c:v>Immessa Rete</c:v>
          </c:tx>
          <c:spPr>
            <a:solidFill>
              <a:srgbClr val="F5C5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Annuale'!$D$4:$D$28</c:f>
              <c:numCache>
                <c:formatCode>#,##0</c:formatCode>
                <c:ptCount val="25"/>
                <c:pt idx="0">
                  <c:v>3168</c:v>
                </c:pt>
                <c:pt idx="1">
                  <c:v>3152.16</c:v>
                </c:pt>
                <c:pt idx="2">
                  <c:v>3136.3991999999998</c:v>
                </c:pt>
                <c:pt idx="3">
                  <c:v>3120.717204</c:v>
                </c:pt>
                <c:pt idx="4">
                  <c:v>3105.1136179800005</c:v>
                </c:pt>
                <c:pt idx="5">
                  <c:v>3089.5880498901001</c:v>
                </c:pt>
                <c:pt idx="6">
                  <c:v>3074.1401096406498</c:v>
                </c:pt>
                <c:pt idx="7">
                  <c:v>3058.769409092446</c:v>
                </c:pt>
                <c:pt idx="8">
                  <c:v>3043.4755620469841</c:v>
                </c:pt>
                <c:pt idx="9">
                  <c:v>3028.258184236749</c:v>
                </c:pt>
                <c:pt idx="10">
                  <c:v>3013.1168933155659</c:v>
                </c:pt>
                <c:pt idx="11">
                  <c:v>2998.0513088489874</c:v>
                </c:pt>
                <c:pt idx="12">
                  <c:v>2983.0610523047426</c:v>
                </c:pt>
                <c:pt idx="13">
                  <c:v>2968.1457470432192</c:v>
                </c:pt>
                <c:pt idx="14">
                  <c:v>2953.3050183080031</c:v>
                </c:pt>
                <c:pt idx="15">
                  <c:v>2938.5384932164634</c:v>
                </c:pt>
                <c:pt idx="16">
                  <c:v>2923.8458007503805</c:v>
                </c:pt>
                <c:pt idx="17">
                  <c:v>2909.2265717466289</c:v>
                </c:pt>
                <c:pt idx="18">
                  <c:v>2894.6804388878954</c:v>
                </c:pt>
                <c:pt idx="19">
                  <c:v>2880.2070366934563</c:v>
                </c:pt>
                <c:pt idx="20">
                  <c:v>2865.8060015099891</c:v>
                </c:pt>
                <c:pt idx="21">
                  <c:v>2851.476971502439</c:v>
                </c:pt>
                <c:pt idx="22">
                  <c:v>2837.2195866449269</c:v>
                </c:pt>
                <c:pt idx="23">
                  <c:v>2823.0334887117019</c:v>
                </c:pt>
                <c:pt idx="24">
                  <c:v>2808.9183212681437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6E-E54D-A686-E25CF7DB2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73775"/>
        <c:axId val="1719788"/>
      </c:barChart>
      <c:catAx>
        <c:axId val="64173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Anno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719788"/>
        <c:crosses val="autoZero"/>
        <c:auto val="1"/>
        <c:lblAlgn val="ctr"/>
        <c:lblOffset val="100"/>
        <c:noMultiLvlLbl val="0"/>
      </c:catAx>
      <c:valAx>
        <c:axId val="1719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64173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Composizione Benefici Annui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'📊 Modello Annuale'!$G$3</c:f>
              <c:strCache>
                <c:ptCount val="1"/>
                <c:pt idx="0">
                  <c:v>Risp. Autocons.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Annuale'!$G$4:$G$28</c:f>
              <c:numCache>
                <c:formatCode>\€#,##0;"(€"#,##0\);\-</c:formatCode>
                <c:ptCount val="25"/>
                <c:pt idx="0">
                  <c:v>648</c:v>
                </c:pt>
                <c:pt idx="1">
                  <c:v>664.1028</c:v>
                </c:pt>
                <c:pt idx="2">
                  <c:v>680.60575457999994</c:v>
                </c:pt>
                <c:pt idx="3">
                  <c:v>697.51880758131301</c:v>
                </c:pt>
                <c:pt idx="4">
                  <c:v>714.85214994970863</c:v>
                </c:pt>
                <c:pt idx="5">
                  <c:v>732.61622587595889</c:v>
                </c:pt>
                <c:pt idx="6">
                  <c:v>750.82173908897664</c:v>
                </c:pt>
                <c:pt idx="7">
                  <c:v>769.47965930533758</c:v>
                </c:pt>
                <c:pt idx="8">
                  <c:v>788.60122883907513</c:v>
                </c:pt>
                <c:pt idx="9">
                  <c:v>808.19796937572607</c:v>
                </c:pt>
                <c:pt idx="10">
                  <c:v>828.28168891471307</c:v>
                </c:pt>
                <c:pt idx="11">
                  <c:v>848.86448888424354</c:v>
                </c:pt>
                <c:pt idx="12">
                  <c:v>869.95877143301709</c:v>
                </c:pt>
                <c:pt idx="13">
                  <c:v>891.57724690312739</c:v>
                </c:pt>
                <c:pt idx="14">
                  <c:v>913.73294148867024</c:v>
                </c:pt>
                <c:pt idx="15">
                  <c:v>936.43920508466374</c:v>
                </c:pt>
                <c:pt idx="16">
                  <c:v>959.70971933101748</c:v>
                </c:pt>
                <c:pt idx="17">
                  <c:v>983.55850585639314</c:v>
                </c:pt>
                <c:pt idx="18">
                  <c:v>1007.9999347269246</c:v>
                </c:pt>
                <c:pt idx="19">
                  <c:v>1033.0487331048887</c:v>
                </c:pt>
                <c:pt idx="20">
                  <c:v>1058.7199941225451</c:v>
                </c:pt>
                <c:pt idx="21">
                  <c:v>1085.0291859764905</c:v>
                </c:pt>
                <c:pt idx="22">
                  <c:v>1111.9921612480061</c:v>
                </c:pt>
                <c:pt idx="23">
                  <c:v>1139.6251664550191</c:v>
                </c:pt>
                <c:pt idx="24">
                  <c:v>1167.9448518414263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0-0C4C-B406-3C73DBD56A4A}"/>
            </c:ext>
          </c:extLst>
        </c:ser>
        <c:ser>
          <c:idx val="1"/>
          <c:order val="1"/>
          <c:tx>
            <c:strRef>
              <c:f>'📊 Modello Annuale'!$H$3</c:f>
              <c:strCache>
                <c:ptCount val="1"/>
                <c:pt idx="0">
                  <c:v>Ric. Immissione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Annuale'!$H$4:$H$28</c:f>
              <c:numCache>
                <c:formatCode>\€#,##0;"(€"#,##0\);\-</c:formatCode>
                <c:ptCount val="25"/>
                <c:pt idx="0">
                  <c:v>316.8</c:v>
                </c:pt>
                <c:pt idx="1">
                  <c:v>324.67248000000001</c:v>
                </c:pt>
                <c:pt idx="2">
                  <c:v>332.74059112800001</c:v>
                </c:pt>
                <c:pt idx="3">
                  <c:v>341.00919481753078</c:v>
                </c:pt>
                <c:pt idx="4">
                  <c:v>349.48327330874645</c:v>
                </c:pt>
                <c:pt idx="5">
                  <c:v>358.1679326504688</c:v>
                </c:pt>
                <c:pt idx="6">
                  <c:v>367.068405776833</c:v>
                </c:pt>
                <c:pt idx="7">
                  <c:v>376.1900556603872</c:v>
                </c:pt>
                <c:pt idx="8">
                  <c:v>385.53837854354782</c:v>
                </c:pt>
                <c:pt idx="9">
                  <c:v>395.11900725035497</c:v>
                </c:pt>
                <c:pt idx="10">
                  <c:v>404.9377145805264</c:v>
                </c:pt>
                <c:pt idx="11">
                  <c:v>415.00041678785243</c:v>
                </c:pt>
                <c:pt idx="12">
                  <c:v>425.31317714503052</c:v>
                </c:pt>
                <c:pt idx="13">
                  <c:v>435.88220959708451</c:v>
                </c:pt>
                <c:pt idx="14">
                  <c:v>446.71388250557214</c:v>
                </c:pt>
                <c:pt idx="15">
                  <c:v>457.81472248583566</c:v>
                </c:pt>
                <c:pt idx="16">
                  <c:v>469.1914183396085</c:v>
                </c:pt>
                <c:pt idx="17">
                  <c:v>480.85082508534782</c:v>
                </c:pt>
                <c:pt idx="18">
                  <c:v>492.79996808871869</c:v>
                </c:pt>
                <c:pt idx="19">
                  <c:v>505.04604729572338</c:v>
                </c:pt>
                <c:pt idx="20">
                  <c:v>517.59644157102207</c:v>
                </c:pt>
                <c:pt idx="21">
                  <c:v>530.4587131440619</c:v>
                </c:pt>
                <c:pt idx="22">
                  <c:v>543.64061216569189</c:v>
                </c:pt>
                <c:pt idx="23">
                  <c:v>557.1500813780093</c:v>
                </c:pt>
                <c:pt idx="24">
                  <c:v>570.99526090025279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0-0C4C-B406-3C73DBD56A4A}"/>
            </c:ext>
          </c:extLst>
        </c:ser>
        <c:ser>
          <c:idx val="2"/>
          <c:order val="2"/>
          <c:tx>
            <c:strRef>
              <c:f>'📊 Modello Annuale'!$I$3</c:f>
              <c:strCache>
                <c:ptCount val="1"/>
                <c:pt idx="0">
                  <c:v>Beneficio Lordo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Annuale'!$I$4:$I$28</c:f>
              <c:numCache>
                <c:formatCode>\€#,##0;"(€"#,##0\);\-</c:formatCode>
                <c:ptCount val="25"/>
                <c:pt idx="0">
                  <c:v>964.8</c:v>
                </c:pt>
                <c:pt idx="1">
                  <c:v>988.77528000000007</c:v>
                </c:pt>
                <c:pt idx="2">
                  <c:v>1013.3463457079999</c:v>
                </c:pt>
                <c:pt idx="3">
                  <c:v>1038.5280023988439</c:v>
                </c:pt>
                <c:pt idx="4">
                  <c:v>1064.3354232584552</c:v>
                </c:pt>
                <c:pt idx="5">
                  <c:v>1090.7841585264277</c:v>
                </c:pt>
                <c:pt idx="6">
                  <c:v>1117.8901448658096</c:v>
                </c:pt>
                <c:pt idx="7">
                  <c:v>1145.6697149657248</c:v>
                </c:pt>
                <c:pt idx="8">
                  <c:v>1174.1396073826229</c:v>
                </c:pt>
                <c:pt idx="9">
                  <c:v>1203.316976626081</c:v>
                </c:pt>
                <c:pt idx="10">
                  <c:v>1233.2194034952395</c:v>
                </c:pt>
                <c:pt idx="11">
                  <c:v>1263.864905672096</c:v>
                </c:pt>
                <c:pt idx="12">
                  <c:v>1295.2719485780476</c:v>
                </c:pt>
                <c:pt idx="13">
                  <c:v>1327.4594565002119</c:v>
                </c:pt>
                <c:pt idx="14">
                  <c:v>1360.4468239942423</c:v>
                </c:pt>
                <c:pt idx="15">
                  <c:v>1394.2539275704994</c:v>
                </c:pt>
                <c:pt idx="16">
                  <c:v>1428.901137670626</c:v>
                </c:pt>
                <c:pt idx="17">
                  <c:v>1464.409330941741</c:v>
                </c:pt>
                <c:pt idx="18">
                  <c:v>1500.7999028156432</c:v>
                </c:pt>
                <c:pt idx="19">
                  <c:v>1538.0947804006121</c:v>
                </c:pt>
                <c:pt idx="20">
                  <c:v>1576.3164356935672</c:v>
                </c:pt>
                <c:pt idx="21">
                  <c:v>1615.4878991205524</c:v>
                </c:pt>
                <c:pt idx="22">
                  <c:v>1655.632773413698</c:v>
                </c:pt>
                <c:pt idx="23">
                  <c:v>1696.7752478330285</c:v>
                </c:pt>
                <c:pt idx="24">
                  <c:v>1738.9401127416791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0-0C4C-B406-3C73DBD56A4A}"/>
            </c:ext>
          </c:extLst>
        </c:ser>
        <c:ser>
          <c:idx val="3"/>
          <c:order val="3"/>
          <c:tx>
            <c:strRef>
              <c:f>'📊 Modello Annuale'!$J$3</c:f>
              <c:strCache>
                <c:ptCount val="1"/>
                <c:pt idx="0">
                  <c:v>Incentivo Fisc.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Annuale'!$J$4:$J$28</c:f>
              <c:numCache>
                <c:formatCode>\€#,##0;"(€"#,##0\);\-</c:formatCode>
                <c:ptCount val="25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D0-0C4C-B406-3C73DBD56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29260"/>
        <c:axId val="68550933"/>
      </c:barChart>
      <c:catAx>
        <c:axId val="10129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Anno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68550933"/>
        <c:crosses val="autoZero"/>
        <c:auto val="1"/>
        <c:lblAlgn val="ctr"/>
        <c:lblOffset val="100"/>
        <c:noMultiLvlLbl val="0"/>
      </c:catAx>
      <c:valAx>
        <c:axId val="68550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;&quot;(€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0129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Evoluzione Prezzo Energia (€/kWh)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Modello Annuale'!$E$3</c:f>
              <c:strCache>
                <c:ptCount val="1"/>
                <c:pt idx="0">
                  <c:v>P. Acquisto</c:v>
                </c:pt>
              </c:strCache>
            </c:strRef>
          </c:tx>
          <c:spPr>
            <a:ln w="47520">
              <a:solidFill>
                <a:srgbClr val="FB92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Annuale'!$E$4:$E$28</c:f>
              <c:numCache>
                <c:formatCode>\€0.000</c:formatCode>
                <c:ptCount val="25"/>
                <c:pt idx="0">
                  <c:v>0.25</c:v>
                </c:pt>
                <c:pt idx="1">
                  <c:v>0.25750000000000001</c:v>
                </c:pt>
                <c:pt idx="2">
                  <c:v>0.26522499999999999</c:v>
                </c:pt>
                <c:pt idx="3">
                  <c:v>0.27318175</c:v>
                </c:pt>
                <c:pt idx="4">
                  <c:v>0.28137720249999998</c:v>
                </c:pt>
                <c:pt idx="5">
                  <c:v>0.28981851857499996</c:v>
                </c:pt>
                <c:pt idx="6">
                  <c:v>0.29851307413224998</c:v>
                </c:pt>
                <c:pt idx="7">
                  <c:v>0.3074684663562175</c:v>
                </c:pt>
                <c:pt idx="8">
                  <c:v>0.31669252034690398</c:v>
                </c:pt>
                <c:pt idx="9">
                  <c:v>0.32619329595731111</c:v>
                </c:pt>
                <c:pt idx="10">
                  <c:v>0.33597909483603045</c:v>
                </c:pt>
                <c:pt idx="11">
                  <c:v>0.34605846768111137</c:v>
                </c:pt>
                <c:pt idx="12">
                  <c:v>0.35644022171154466</c:v>
                </c:pt>
                <c:pt idx="13">
                  <c:v>0.36713342836289098</c:v>
                </c:pt>
                <c:pt idx="14">
                  <c:v>0.37814743121377775</c:v>
                </c:pt>
                <c:pt idx="15">
                  <c:v>0.38949185415019111</c:v>
                </c:pt>
                <c:pt idx="16">
                  <c:v>0.40117660977469677</c:v>
                </c:pt>
                <c:pt idx="17">
                  <c:v>0.41321190806793767</c:v>
                </c:pt>
                <c:pt idx="18">
                  <c:v>0.42560826530997581</c:v>
                </c:pt>
                <c:pt idx="19">
                  <c:v>0.43837651326927507</c:v>
                </c:pt>
                <c:pt idx="20">
                  <c:v>0.45152780866735331</c:v>
                </c:pt>
                <c:pt idx="21">
                  <c:v>0.46507364292737385</c:v>
                </c:pt>
                <c:pt idx="22">
                  <c:v>0.47902585221519511</c:v>
                </c:pt>
                <c:pt idx="23">
                  <c:v>0.493396627781651</c:v>
                </c:pt>
                <c:pt idx="24">
                  <c:v>0.50819852661510045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58-CB41-9E2C-ACDF9BB686D7}"/>
            </c:ext>
          </c:extLst>
        </c:ser>
        <c:ser>
          <c:idx val="1"/>
          <c:order val="1"/>
          <c:tx>
            <c:strRef>
              <c:f>'📊 Modello Annuale'!$F$3</c:f>
              <c:strCache>
                <c:ptCount val="1"/>
                <c:pt idx="0">
                  <c:v>P. Vendita</c:v>
                </c:pt>
              </c:strCache>
            </c:strRef>
          </c:tx>
          <c:spPr>
            <a:ln w="47520">
              <a:solidFill>
                <a:srgbClr val="60A5F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'📊 Modello Annuale'!$A$4:$A$28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'📊 Modello Annuale'!$F$4:$F$28</c:f>
              <c:numCache>
                <c:formatCode>\€0.000</c:formatCode>
                <c:ptCount val="25"/>
                <c:pt idx="0">
                  <c:v>0.1</c:v>
                </c:pt>
                <c:pt idx="1">
                  <c:v>0.10300000000000001</c:v>
                </c:pt>
                <c:pt idx="2">
                  <c:v>0.10609</c:v>
                </c:pt>
                <c:pt idx="3">
                  <c:v>0.1092727</c:v>
                </c:pt>
                <c:pt idx="4">
                  <c:v>0.11255088099999999</c:v>
                </c:pt>
                <c:pt idx="5">
                  <c:v>0.11592740742999999</c:v>
                </c:pt>
                <c:pt idx="6">
                  <c:v>0.1194052296529</c:v>
                </c:pt>
                <c:pt idx="7">
                  <c:v>0.122987386542487</c:v>
                </c:pt>
                <c:pt idx="8">
                  <c:v>0.12667700813876159</c:v>
                </c:pt>
                <c:pt idx="9">
                  <c:v>0.13047731838292445</c:v>
                </c:pt>
                <c:pt idx="10">
                  <c:v>0.13439163793441219</c:v>
                </c:pt>
                <c:pt idx="11">
                  <c:v>0.13842338707244456</c:v>
                </c:pt>
                <c:pt idx="12">
                  <c:v>0.14257608868461788</c:v>
                </c:pt>
                <c:pt idx="13">
                  <c:v>0.14685337134515639</c:v>
                </c:pt>
                <c:pt idx="14">
                  <c:v>0.15125897248551112</c:v>
                </c:pt>
                <c:pt idx="15">
                  <c:v>0.15579674166007645</c:v>
                </c:pt>
                <c:pt idx="16">
                  <c:v>0.16047064390987872</c:v>
                </c:pt>
                <c:pt idx="17">
                  <c:v>0.16528476322717509</c:v>
                </c:pt>
                <c:pt idx="18">
                  <c:v>0.17024330612399033</c:v>
                </c:pt>
                <c:pt idx="19">
                  <c:v>0.17535060530771004</c:v>
                </c:pt>
                <c:pt idx="20">
                  <c:v>0.18061112346694133</c:v>
                </c:pt>
                <c:pt idx="21">
                  <c:v>0.18602945717094954</c:v>
                </c:pt>
                <c:pt idx="22">
                  <c:v>0.19161034088607806</c:v>
                </c:pt>
                <c:pt idx="23">
                  <c:v>0.1973586511126604</c:v>
                </c:pt>
                <c:pt idx="24">
                  <c:v>0.20327941064604019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58-CB41-9E2C-ACDF9BB68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093091"/>
        <c:axId val="45819131"/>
      </c:lineChart>
      <c:catAx>
        <c:axId val="57093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Anno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45819131"/>
        <c:crosses val="autoZero"/>
        <c:auto val="1"/>
        <c:lblAlgn val="ctr"/>
        <c:lblOffset val="100"/>
        <c:noMultiLvlLbl val="0"/>
      </c:catAx>
      <c:valAx>
        <c:axId val="45819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€/kWh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57093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571500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609600</xdr:colOff>
      <xdr:row>2</xdr:row>
      <xdr:rowOff>0</xdr:rowOff>
    </xdr:from>
    <xdr:to>
      <xdr:col>21</xdr:col>
      <xdr:colOff>313520</xdr:colOff>
      <xdr:row>24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596900</xdr:colOff>
      <xdr:row>47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622300</xdr:colOff>
      <xdr:row>24</xdr:row>
      <xdr:rowOff>165100</xdr:rowOff>
    </xdr:from>
    <xdr:to>
      <xdr:col>21</xdr:col>
      <xdr:colOff>326220</xdr:colOff>
      <xdr:row>47</xdr:row>
      <xdr:rowOff>103120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C542"/>
  </sheetPr>
  <dimension ref="A1:E29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8" sqref="C8"/>
    </sheetView>
  </sheetViews>
  <sheetFormatPr baseColWidth="10" defaultColWidth="8.6640625" defaultRowHeight="15" x14ac:dyDescent="0.2"/>
  <cols>
    <col min="1" max="1" width="2" style="10" customWidth="1"/>
    <col min="2" max="2" width="32" style="10" customWidth="1"/>
    <col min="3" max="3" width="18" style="10" customWidth="1"/>
    <col min="4" max="4" width="61.33203125" style="10" customWidth="1"/>
    <col min="5" max="5" width="9.5" style="10" customWidth="1"/>
  </cols>
  <sheetData>
    <row r="1" spans="2:4" ht="31.5" customHeight="1" x14ac:dyDescent="0.2">
      <c r="B1" s="9" t="s">
        <v>0</v>
      </c>
      <c r="C1" s="9"/>
      <c r="D1" s="9"/>
    </row>
    <row r="2" spans="2:4" ht="18" customHeight="1" x14ac:dyDescent="0.2">
      <c r="B2" s="8" t="s">
        <v>1</v>
      </c>
      <c r="C2" s="8"/>
      <c r="D2" s="8"/>
    </row>
    <row r="4" spans="2:4" ht="19.5" customHeight="1" x14ac:dyDescent="0.2">
      <c r="B4" s="7" t="s">
        <v>2</v>
      </c>
      <c r="C4" s="7"/>
      <c r="D4" s="7"/>
    </row>
    <row r="5" spans="2:4" ht="18" customHeight="1" x14ac:dyDescent="0.2">
      <c r="B5" s="11" t="s">
        <v>3</v>
      </c>
      <c r="C5" s="12">
        <v>6</v>
      </c>
      <c r="D5" s="13" t="s">
        <v>4</v>
      </c>
    </row>
    <row r="6" spans="2:4" ht="18" customHeight="1" x14ac:dyDescent="0.2">
      <c r="B6" s="14" t="s">
        <v>5</v>
      </c>
      <c r="C6" s="15">
        <v>1</v>
      </c>
      <c r="D6" s="16" t="s">
        <v>6</v>
      </c>
    </row>
    <row r="7" spans="2:4" x14ac:dyDescent="0.2">
      <c r="B7" s="11" t="s">
        <v>7</v>
      </c>
      <c r="C7" s="17">
        <v>1200</v>
      </c>
      <c r="D7" s="13" t="s">
        <v>8</v>
      </c>
    </row>
    <row r="8" spans="2:4" ht="18" customHeight="1" x14ac:dyDescent="0.2">
      <c r="B8" s="14" t="s">
        <v>9</v>
      </c>
      <c r="C8" s="55">
        <v>0.8</v>
      </c>
      <c r="D8" s="16" t="s">
        <v>10</v>
      </c>
    </row>
    <row r="9" spans="2:4" ht="18" customHeight="1" x14ac:dyDescent="0.2">
      <c r="B9" s="11" t="s">
        <v>11</v>
      </c>
      <c r="C9" s="18">
        <v>5.0000000000000001E-3</v>
      </c>
      <c r="D9" s="13" t="s">
        <v>12</v>
      </c>
    </row>
    <row r="10" spans="2:4" ht="19.5" customHeight="1" x14ac:dyDescent="0.2">
      <c r="B10" s="7" t="s">
        <v>13</v>
      </c>
      <c r="C10" s="7"/>
      <c r="D10" s="7"/>
    </row>
    <row r="11" spans="2:4" ht="18" customHeight="1" x14ac:dyDescent="0.2">
      <c r="B11" s="11" t="s">
        <v>14</v>
      </c>
      <c r="C11" s="19">
        <v>12000</v>
      </c>
      <c r="D11" s="13" t="s">
        <v>15</v>
      </c>
    </row>
    <row r="12" spans="2:4" ht="18" customHeight="1" x14ac:dyDescent="0.2">
      <c r="B12" s="14" t="s">
        <v>16</v>
      </c>
      <c r="C12" s="19">
        <v>0</v>
      </c>
      <c r="D12" s="16" t="s">
        <v>17</v>
      </c>
    </row>
    <row r="13" spans="2:4" ht="18" customHeight="1" x14ac:dyDescent="0.2">
      <c r="B13" s="11" t="s">
        <v>18</v>
      </c>
      <c r="C13" s="19">
        <f>C5*20</f>
        <v>120</v>
      </c>
      <c r="D13" s="13" t="s">
        <v>19</v>
      </c>
    </row>
    <row r="14" spans="2:4" ht="18" customHeight="1" x14ac:dyDescent="0.2">
      <c r="B14" s="14" t="s">
        <v>20</v>
      </c>
      <c r="C14" s="17">
        <v>13</v>
      </c>
      <c r="D14" s="16" t="s">
        <v>21</v>
      </c>
    </row>
    <row r="15" spans="2:4" ht="18" customHeight="1" x14ac:dyDescent="0.2">
      <c r="B15" s="11" t="s">
        <v>22</v>
      </c>
      <c r="C15" s="19">
        <f>C5*200</f>
        <v>1200</v>
      </c>
      <c r="D15" s="13" t="s">
        <v>23</v>
      </c>
    </row>
    <row r="16" spans="2:4" ht="19.5" customHeight="1" x14ac:dyDescent="0.2">
      <c r="B16" s="7" t="s">
        <v>24</v>
      </c>
      <c r="C16" s="7"/>
      <c r="D16" s="7"/>
    </row>
    <row r="17" spans="2:4" ht="18" customHeight="1" x14ac:dyDescent="0.2">
      <c r="B17" s="11" t="s">
        <v>25</v>
      </c>
      <c r="C17" s="20">
        <v>0.25</v>
      </c>
      <c r="D17" s="13" t="s">
        <v>26</v>
      </c>
    </row>
    <row r="18" spans="2:4" ht="18" customHeight="1" x14ac:dyDescent="0.2">
      <c r="B18" s="14" t="s">
        <v>27</v>
      </c>
      <c r="C18" s="20">
        <v>0.1</v>
      </c>
      <c r="D18" s="16" t="s">
        <v>28</v>
      </c>
    </row>
    <row r="19" spans="2:4" ht="18" customHeight="1" x14ac:dyDescent="0.2">
      <c r="B19" s="11" t="s">
        <v>29</v>
      </c>
      <c r="C19" s="18">
        <v>0.45</v>
      </c>
      <c r="D19" s="13" t="s">
        <v>30</v>
      </c>
    </row>
    <row r="20" spans="2:4" ht="18" customHeight="1" x14ac:dyDescent="0.2">
      <c r="B20" s="14" t="s">
        <v>31</v>
      </c>
      <c r="C20" s="18">
        <v>0.03</v>
      </c>
      <c r="D20" s="16" t="s">
        <v>32</v>
      </c>
    </row>
    <row r="21" spans="2:4" ht="19.5" customHeight="1" x14ac:dyDescent="0.2">
      <c r="B21" s="7" t="s">
        <v>33</v>
      </c>
      <c r="C21" s="7"/>
      <c r="D21" s="7"/>
    </row>
    <row r="22" spans="2:4" ht="18" customHeight="1" x14ac:dyDescent="0.2">
      <c r="B22" s="14" t="s">
        <v>34</v>
      </c>
      <c r="C22" s="18">
        <v>0.5</v>
      </c>
      <c r="D22" s="16" t="s">
        <v>35</v>
      </c>
    </row>
    <row r="23" spans="2:4" ht="18" customHeight="1" x14ac:dyDescent="0.2">
      <c r="B23" s="11" t="s">
        <v>36</v>
      </c>
      <c r="C23" s="17">
        <v>10</v>
      </c>
      <c r="D23" s="13" t="s">
        <v>37</v>
      </c>
    </row>
    <row r="24" spans="2:4" ht="18" customHeight="1" x14ac:dyDescent="0.2">
      <c r="B24" s="14" t="s">
        <v>38</v>
      </c>
      <c r="C24" s="18">
        <v>0.03</v>
      </c>
      <c r="D24" s="16" t="s">
        <v>39</v>
      </c>
    </row>
    <row r="25" spans="2:4" ht="18" customHeight="1" x14ac:dyDescent="0.2">
      <c r="B25" s="11" t="s">
        <v>40</v>
      </c>
      <c r="C25" s="17">
        <v>25</v>
      </c>
      <c r="D25" s="13" t="s">
        <v>41</v>
      </c>
    </row>
    <row r="26" spans="2:4" ht="12" customHeight="1" x14ac:dyDescent="0.2"/>
    <row r="27" spans="2:4" ht="15" customHeight="1" x14ac:dyDescent="0.2">
      <c r="B27" s="7" t="s">
        <v>42</v>
      </c>
      <c r="C27" s="7"/>
      <c r="D27" s="7"/>
    </row>
    <row r="28" spans="2:4" ht="15.75" customHeight="1" x14ac:dyDescent="0.2">
      <c r="B28" s="21" t="s">
        <v>43</v>
      </c>
      <c r="C28" s="22" t="s">
        <v>44</v>
      </c>
      <c r="D28" s="23" t="s">
        <v>45</v>
      </c>
    </row>
    <row r="29" spans="2:4" ht="15.75" customHeight="1" x14ac:dyDescent="0.2">
      <c r="B29" s="24" t="s">
        <v>43</v>
      </c>
      <c r="C29" s="25" t="s">
        <v>44</v>
      </c>
      <c r="D29" s="23" t="s">
        <v>46</v>
      </c>
    </row>
  </sheetData>
  <mergeCells count="7">
    <mergeCell ref="B21:D21"/>
    <mergeCell ref="B27:D27"/>
    <mergeCell ref="B1:D1"/>
    <mergeCell ref="B2:D2"/>
    <mergeCell ref="B4:D4"/>
    <mergeCell ref="B10:D10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P2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1" sqref="A11:XFD11"/>
    </sheetView>
  </sheetViews>
  <sheetFormatPr baseColWidth="10" defaultColWidth="8.6640625" defaultRowHeight="15" x14ac:dyDescent="0.2"/>
  <cols>
    <col min="1" max="1" width="6" style="10" customWidth="1"/>
    <col min="2" max="4" width="14" style="10" customWidth="1"/>
    <col min="5" max="6" width="11" style="10" customWidth="1"/>
    <col min="7" max="9" width="14" style="10" customWidth="1"/>
    <col min="10" max="11" width="13" style="10" customWidth="1"/>
    <col min="12" max="12" width="14" style="10" customWidth="1"/>
    <col min="13" max="13" width="16" style="10" customWidth="1"/>
    <col min="14" max="14" width="14" style="10" customWidth="1"/>
    <col min="15" max="15" width="16" style="10" customWidth="1"/>
  </cols>
  <sheetData>
    <row r="1" spans="1:16" ht="27.75" customHeight="1" x14ac:dyDescent="0.2">
      <c r="A1" s="6" t="s">
        <v>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6" ht="18" customHeight="1" x14ac:dyDescent="0.2">
      <c r="B2" s="5" t="s">
        <v>48</v>
      </c>
      <c r="C2" s="5"/>
      <c r="D2" s="5"/>
      <c r="E2" s="5" t="s">
        <v>49</v>
      </c>
      <c r="F2" s="5"/>
      <c r="G2" s="5" t="s">
        <v>50</v>
      </c>
      <c r="H2" s="5"/>
      <c r="I2" s="5"/>
      <c r="J2" s="5" t="s">
        <v>51</v>
      </c>
      <c r="K2" s="5"/>
      <c r="L2" s="5" t="s">
        <v>52</v>
      </c>
      <c r="M2" s="5"/>
      <c r="N2" s="5" t="s">
        <v>53</v>
      </c>
      <c r="O2" s="5"/>
    </row>
    <row r="3" spans="1:16" ht="30" customHeight="1" x14ac:dyDescent="0.2">
      <c r="A3" s="26" t="s">
        <v>54</v>
      </c>
      <c r="B3" s="26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6" t="s">
        <v>60</v>
      </c>
      <c r="H3" s="26" t="s">
        <v>61</v>
      </c>
      <c r="I3" s="26" t="s">
        <v>62</v>
      </c>
      <c r="J3" s="26" t="s">
        <v>63</v>
      </c>
      <c r="K3" s="26" t="s">
        <v>64</v>
      </c>
      <c r="L3" s="26" t="s">
        <v>65</v>
      </c>
      <c r="M3" s="26" t="s">
        <v>66</v>
      </c>
      <c r="N3" s="26" t="s">
        <v>67</v>
      </c>
      <c r="O3" s="26" t="s">
        <v>68</v>
      </c>
      <c r="P3" s="27" t="s">
        <v>69</v>
      </c>
    </row>
    <row r="4" spans="1:16" ht="15.75" customHeight="1" x14ac:dyDescent="0.2">
      <c r="A4" s="28">
        <v>1</v>
      </c>
      <c r="B4" s="29">
        <f>'📋 Parametri'!C5*'📋 Parametri'!C7*'📋 Parametri'!C6*'📋 Parametri'!C8*(1-'📋 Parametri'!C9)^(1-1)</f>
        <v>5760</v>
      </c>
      <c r="C4" s="29">
        <f>B4*'📋 Parametri'!C19</f>
        <v>2592</v>
      </c>
      <c r="D4" s="29">
        <f t="shared" ref="D4:D28" si="0">B4-C4</f>
        <v>3168</v>
      </c>
      <c r="E4" s="30">
        <f>'📋 Parametri'!C17*(1+'📋 Parametri'!C20)^(1-1)</f>
        <v>0.25</v>
      </c>
      <c r="F4" s="30">
        <f>'📋 Parametri'!C18*(1+'📋 Parametri'!C20)^(1-1)</f>
        <v>0.1</v>
      </c>
      <c r="G4" s="31">
        <f t="shared" ref="G4:G28" si="1">C4*E4</f>
        <v>648</v>
      </c>
      <c r="H4" s="31">
        <f t="shared" ref="H4:H28" si="2">D4*F4</f>
        <v>316.8</v>
      </c>
      <c r="I4" s="31">
        <f t="shared" ref="I4:I28" si="3">G4+H4</f>
        <v>964.8</v>
      </c>
      <c r="J4" s="31">
        <f>IF(AND(1&gt;=1,1&lt;='📋 Parametri'!C23),'📋 Parametri'!C11*'📋 Parametri'!C22/'📋 Parametri'!C23,0)</f>
        <v>600</v>
      </c>
      <c r="K4" s="31">
        <f>'📋 Parametri'!C13+IF(1='📋 Parametri'!C14,'📋 Parametri'!C15,0)</f>
        <v>120</v>
      </c>
      <c r="L4" s="31">
        <f t="shared" ref="L4:L28" si="4">I4+J4-K4</f>
        <v>1444.8</v>
      </c>
      <c r="M4" s="31">
        <f>-('📋 Parametri'!C11+'📋 Parametri'!C12)+L4</f>
        <v>-10555.2</v>
      </c>
      <c r="N4" s="31">
        <f>L4/(1+'📋 Parametri'!C24)^1</f>
        <v>1402.7184466019417</v>
      </c>
      <c r="O4" s="31">
        <f>-('📋 Parametri'!C11+'📋 Parametri'!C12)+N4</f>
        <v>-10597.281553398057</v>
      </c>
      <c r="P4" s="32">
        <f>-('📋 Parametri'!C11+'📋 Parametri'!C12)+L4</f>
        <v>-10555.2</v>
      </c>
    </row>
    <row r="5" spans="1:16" ht="15.75" customHeight="1" x14ac:dyDescent="0.2">
      <c r="A5" s="33">
        <v>2</v>
      </c>
      <c r="B5" s="34">
        <f>'📋 Parametri'!C5*'📋 Parametri'!C7*'📋 Parametri'!C6*'📋 Parametri'!C8*(1-'📋 Parametri'!C9)^(2-1)</f>
        <v>5731.2</v>
      </c>
      <c r="C5" s="34">
        <f>B5*'📋 Parametri'!C19</f>
        <v>2579.04</v>
      </c>
      <c r="D5" s="34">
        <f t="shared" si="0"/>
        <v>3152.16</v>
      </c>
      <c r="E5" s="35">
        <f>'📋 Parametri'!C17*(1+'📋 Parametri'!C20)^(2-1)</f>
        <v>0.25750000000000001</v>
      </c>
      <c r="F5" s="35">
        <f>'📋 Parametri'!C18*(1+'📋 Parametri'!C20)^(2-1)</f>
        <v>0.10300000000000001</v>
      </c>
      <c r="G5" s="36">
        <f t="shared" si="1"/>
        <v>664.1028</v>
      </c>
      <c r="H5" s="36">
        <f t="shared" si="2"/>
        <v>324.67248000000001</v>
      </c>
      <c r="I5" s="36">
        <f t="shared" si="3"/>
        <v>988.77528000000007</v>
      </c>
      <c r="J5" s="36">
        <f>IF(AND(2&gt;=1,2&lt;='📋 Parametri'!C23),'📋 Parametri'!C11*'📋 Parametri'!C22/'📋 Parametri'!C23,0)</f>
        <v>600</v>
      </c>
      <c r="K5" s="36">
        <f>'📋 Parametri'!C13+IF(2='📋 Parametri'!C14,'📋 Parametri'!C15,0)</f>
        <v>120</v>
      </c>
      <c r="L5" s="36">
        <f t="shared" si="4"/>
        <v>1468.7752800000001</v>
      </c>
      <c r="M5" s="36">
        <f t="shared" ref="M5:M28" si="5">M4+L5</f>
        <v>-9086.4247200000009</v>
      </c>
      <c r="N5" s="36">
        <f>L5/(1+'📋 Parametri'!C24)^2</f>
        <v>1384.4615703647848</v>
      </c>
      <c r="O5" s="36">
        <f t="shared" ref="O5:O28" si="6">O4+N5</f>
        <v>-9212.8199830332724</v>
      </c>
      <c r="P5" s="37">
        <f t="shared" ref="P5:P28" si="7">L5</f>
        <v>1468.7752800000001</v>
      </c>
    </row>
    <row r="6" spans="1:16" ht="15.75" customHeight="1" x14ac:dyDescent="0.2">
      <c r="A6" s="28">
        <v>3</v>
      </c>
      <c r="B6" s="29">
        <f>'📋 Parametri'!C5*'📋 Parametri'!C7*'📋 Parametri'!C6*'📋 Parametri'!C8*(1-'📋 Parametri'!C9)^(3-1)</f>
        <v>5702.5439999999999</v>
      </c>
      <c r="C6" s="29">
        <f>B6*'📋 Parametri'!C19</f>
        <v>2566.1448</v>
      </c>
      <c r="D6" s="29">
        <f t="shared" si="0"/>
        <v>3136.3991999999998</v>
      </c>
      <c r="E6" s="30">
        <f>'📋 Parametri'!C17*(1+'📋 Parametri'!C20)^(3-1)</f>
        <v>0.26522499999999999</v>
      </c>
      <c r="F6" s="30">
        <f>'📋 Parametri'!C18*(1+'📋 Parametri'!C20)^(3-1)</f>
        <v>0.10609</v>
      </c>
      <c r="G6" s="31">
        <f t="shared" si="1"/>
        <v>680.60575457999994</v>
      </c>
      <c r="H6" s="31">
        <f t="shared" si="2"/>
        <v>332.74059112800001</v>
      </c>
      <c r="I6" s="31">
        <f t="shared" si="3"/>
        <v>1013.3463457079999</v>
      </c>
      <c r="J6" s="31">
        <f>IF(AND(3&gt;=1,3&lt;='📋 Parametri'!C23),'📋 Parametri'!C11*'📋 Parametri'!C22/'📋 Parametri'!C23,0)</f>
        <v>600</v>
      </c>
      <c r="K6" s="31">
        <f>'📋 Parametri'!C13+IF(3='📋 Parametri'!C14,'📋 Parametri'!C15,0)</f>
        <v>120</v>
      </c>
      <c r="L6" s="31">
        <f t="shared" si="4"/>
        <v>1493.3463457079999</v>
      </c>
      <c r="M6" s="31">
        <f t="shared" si="5"/>
        <v>-7593.0783742920012</v>
      </c>
      <c r="N6" s="31">
        <f>L6/(1+'📋 Parametri'!C24)^3</f>
        <v>1366.6234528001962</v>
      </c>
      <c r="O6" s="31">
        <f t="shared" si="6"/>
        <v>-7846.1965302330764</v>
      </c>
      <c r="P6" s="37">
        <f t="shared" si="7"/>
        <v>1493.3463457079999</v>
      </c>
    </row>
    <row r="7" spans="1:16" ht="15.75" customHeight="1" x14ac:dyDescent="0.2">
      <c r="A7" s="33">
        <v>4</v>
      </c>
      <c r="B7" s="34">
        <f>'📋 Parametri'!C5*'📋 Parametri'!C7*'📋 Parametri'!C6*'📋 Parametri'!C8*(1-'📋 Parametri'!C9)^(4-1)</f>
        <v>5674.0312800000002</v>
      </c>
      <c r="C7" s="34">
        <f>B7*'📋 Parametri'!C19</f>
        <v>2553.3140760000001</v>
      </c>
      <c r="D7" s="34">
        <f t="shared" si="0"/>
        <v>3120.717204</v>
      </c>
      <c r="E7" s="35">
        <f>'📋 Parametri'!C17*(1+'📋 Parametri'!C20)^(4-1)</f>
        <v>0.27318175</v>
      </c>
      <c r="F7" s="35">
        <f>'📋 Parametri'!C18*(1+'📋 Parametri'!C20)^(4-1)</f>
        <v>0.1092727</v>
      </c>
      <c r="G7" s="36">
        <f t="shared" si="1"/>
        <v>697.51880758131301</v>
      </c>
      <c r="H7" s="36">
        <f t="shared" si="2"/>
        <v>341.00919481753078</v>
      </c>
      <c r="I7" s="36">
        <f t="shared" si="3"/>
        <v>1038.5280023988439</v>
      </c>
      <c r="J7" s="36">
        <f>IF(AND(4&gt;=1,4&lt;='📋 Parametri'!C23),'📋 Parametri'!C11*'📋 Parametri'!C22/'📋 Parametri'!C23,0)</f>
        <v>600</v>
      </c>
      <c r="K7" s="36">
        <f>'📋 Parametri'!C13+IF(4='📋 Parametri'!C14,'📋 Parametri'!C15,0)</f>
        <v>120</v>
      </c>
      <c r="L7" s="36">
        <f t="shared" si="4"/>
        <v>1518.5280023988439</v>
      </c>
      <c r="M7" s="36">
        <f t="shared" si="5"/>
        <v>-6074.5503718931577</v>
      </c>
      <c r="N7" s="36">
        <f>L7/(1+'📋 Parametri'!C24)^4</f>
        <v>1349.192462028657</v>
      </c>
      <c r="O7" s="36">
        <f t="shared" si="6"/>
        <v>-6497.0040682044191</v>
      </c>
      <c r="P7" s="37">
        <f t="shared" si="7"/>
        <v>1518.5280023988439</v>
      </c>
    </row>
    <row r="8" spans="1:16" ht="15.75" customHeight="1" x14ac:dyDescent="0.2">
      <c r="A8" s="28">
        <v>5</v>
      </c>
      <c r="B8" s="29">
        <f>'📋 Parametri'!C5*'📋 Parametri'!C7*'📋 Parametri'!C6*'📋 Parametri'!C8*(1-'📋 Parametri'!C9)^(5-1)</f>
        <v>5645.6611236000008</v>
      </c>
      <c r="C8" s="29">
        <f>B8*'📋 Parametri'!C19</f>
        <v>2540.5475056200003</v>
      </c>
      <c r="D8" s="29">
        <f t="shared" si="0"/>
        <v>3105.1136179800005</v>
      </c>
      <c r="E8" s="30">
        <f>'📋 Parametri'!C17*(1+'📋 Parametri'!C20)^(5-1)</f>
        <v>0.28137720249999998</v>
      </c>
      <c r="F8" s="30">
        <f>'📋 Parametri'!C18*(1+'📋 Parametri'!C20)^(5-1)</f>
        <v>0.11255088099999999</v>
      </c>
      <c r="G8" s="31">
        <f t="shared" si="1"/>
        <v>714.85214994970863</v>
      </c>
      <c r="H8" s="31">
        <f t="shared" si="2"/>
        <v>349.48327330874645</v>
      </c>
      <c r="I8" s="31">
        <f t="shared" si="3"/>
        <v>1064.3354232584552</v>
      </c>
      <c r="J8" s="31">
        <f>IF(AND(5&gt;=1,5&lt;='📋 Parametri'!C23),'📋 Parametri'!C11*'📋 Parametri'!C22/'📋 Parametri'!C23,0)</f>
        <v>600</v>
      </c>
      <c r="K8" s="31">
        <f>'📋 Parametri'!C13+IF(5='📋 Parametri'!C14,'📋 Parametri'!C15,0)</f>
        <v>120</v>
      </c>
      <c r="L8" s="31">
        <f t="shared" si="4"/>
        <v>1544.3354232584552</v>
      </c>
      <c r="M8" s="31">
        <f t="shared" si="5"/>
        <v>-4530.2149486347025</v>
      </c>
      <c r="N8" s="31">
        <f>L8/(1+'📋 Parametri'!C24)^5</f>
        <v>1332.1573021383797</v>
      </c>
      <c r="O8" s="31">
        <f t="shared" si="6"/>
        <v>-5164.846766066039</v>
      </c>
      <c r="P8" s="37">
        <f t="shared" si="7"/>
        <v>1544.3354232584552</v>
      </c>
    </row>
    <row r="9" spans="1:16" ht="15.75" customHeight="1" x14ac:dyDescent="0.2">
      <c r="A9" s="33">
        <v>6</v>
      </c>
      <c r="B9" s="34">
        <f>'📋 Parametri'!C5*'📋 Parametri'!C7*'📋 Parametri'!C6*'📋 Parametri'!C8*(1-'📋 Parametri'!C9)^(6-1)</f>
        <v>5617.4328179820004</v>
      </c>
      <c r="C9" s="34">
        <f>B9*'📋 Parametri'!C19</f>
        <v>2527.8447680919003</v>
      </c>
      <c r="D9" s="34">
        <f t="shared" si="0"/>
        <v>3089.5880498901001</v>
      </c>
      <c r="E9" s="35">
        <f>'📋 Parametri'!C17*(1+'📋 Parametri'!C20)^(6-1)</f>
        <v>0.28981851857499996</v>
      </c>
      <c r="F9" s="35">
        <f>'📋 Parametri'!C18*(1+'📋 Parametri'!C20)^(6-1)</f>
        <v>0.11592740742999999</v>
      </c>
      <c r="G9" s="36">
        <f t="shared" si="1"/>
        <v>732.61622587595889</v>
      </c>
      <c r="H9" s="36">
        <f t="shared" si="2"/>
        <v>358.1679326504688</v>
      </c>
      <c r="I9" s="36">
        <f t="shared" si="3"/>
        <v>1090.7841585264277</v>
      </c>
      <c r="J9" s="36">
        <f>IF(AND(6&gt;=1,6&lt;='📋 Parametri'!C23),'📋 Parametri'!C11*'📋 Parametri'!C22/'📋 Parametri'!C23,0)</f>
        <v>600</v>
      </c>
      <c r="K9" s="36">
        <f>'📋 Parametri'!C13+IF(6='📋 Parametri'!C14,'📋 Parametri'!C15,0)</f>
        <v>120</v>
      </c>
      <c r="L9" s="36">
        <f t="shared" si="4"/>
        <v>1570.7841585264277</v>
      </c>
      <c r="M9" s="36">
        <f t="shared" si="5"/>
        <v>-2959.4307901082748</v>
      </c>
      <c r="N9" s="36">
        <f>L9/(1+'📋 Parametri'!C24)^6</f>
        <v>1315.5070034139649</v>
      </c>
      <c r="O9" s="36">
        <f t="shared" si="6"/>
        <v>-3849.3397626520741</v>
      </c>
      <c r="P9" s="37">
        <f t="shared" si="7"/>
        <v>1570.7841585264277</v>
      </c>
    </row>
    <row r="10" spans="1:16" ht="15.75" customHeight="1" x14ac:dyDescent="0.2">
      <c r="A10" s="28">
        <v>7</v>
      </c>
      <c r="B10" s="29">
        <f>'📋 Parametri'!C5*'📋 Parametri'!C7*'📋 Parametri'!C6*'📋 Parametri'!C8*(1-'📋 Parametri'!C9)^(7-1)</f>
        <v>5589.3456538920909</v>
      </c>
      <c r="C10" s="29">
        <f>B10*'📋 Parametri'!C19</f>
        <v>2515.2055442514411</v>
      </c>
      <c r="D10" s="29">
        <f t="shared" si="0"/>
        <v>3074.1401096406498</v>
      </c>
      <c r="E10" s="30">
        <f>'📋 Parametri'!C17*(1+'📋 Parametri'!C20)^(7-1)</f>
        <v>0.29851307413224998</v>
      </c>
      <c r="F10" s="30">
        <f>'📋 Parametri'!C18*(1+'📋 Parametri'!C20)^(7-1)</f>
        <v>0.1194052296529</v>
      </c>
      <c r="G10" s="31">
        <f t="shared" si="1"/>
        <v>750.82173908897664</v>
      </c>
      <c r="H10" s="31">
        <f t="shared" si="2"/>
        <v>367.068405776833</v>
      </c>
      <c r="I10" s="31">
        <f t="shared" si="3"/>
        <v>1117.8901448658096</v>
      </c>
      <c r="J10" s="31">
        <f>IF(AND(7&gt;=1,7&lt;='📋 Parametri'!C23),'📋 Parametri'!C11*'📋 Parametri'!C22/'📋 Parametri'!C23,0)</f>
        <v>600</v>
      </c>
      <c r="K10" s="31">
        <f>'📋 Parametri'!C13+IF(7='📋 Parametri'!C14,'📋 Parametri'!C15,0)</f>
        <v>120</v>
      </c>
      <c r="L10" s="31">
        <f t="shared" si="4"/>
        <v>1597.8901448658096</v>
      </c>
      <c r="M10" s="31">
        <f t="shared" si="5"/>
        <v>-1361.5406452424652</v>
      </c>
      <c r="N10" s="31">
        <f>L10/(1+'📋 Parametri'!C24)^7</f>
        <v>1299.2309128495915</v>
      </c>
      <c r="O10" s="31">
        <f t="shared" si="6"/>
        <v>-2550.1088498024828</v>
      </c>
      <c r="P10" s="37">
        <f t="shared" si="7"/>
        <v>1597.8901448658096</v>
      </c>
    </row>
    <row r="11" spans="1:16" ht="15.75" customHeight="1" x14ac:dyDescent="0.2">
      <c r="A11" s="33">
        <v>8</v>
      </c>
      <c r="B11" s="34">
        <f>'📋 Parametri'!C5*'📋 Parametri'!C7*'📋 Parametri'!C6*'📋 Parametri'!C8*(1-'📋 Parametri'!C9)^(8-1)</f>
        <v>5561.3989256226296</v>
      </c>
      <c r="C11" s="34">
        <f>B11*'📋 Parametri'!C19</f>
        <v>2502.6295165301835</v>
      </c>
      <c r="D11" s="34">
        <f t="shared" si="0"/>
        <v>3058.769409092446</v>
      </c>
      <c r="E11" s="35">
        <f>'📋 Parametri'!C17*(1+'📋 Parametri'!C20)^(8-1)</f>
        <v>0.3074684663562175</v>
      </c>
      <c r="F11" s="35">
        <f>'📋 Parametri'!C18*(1+'📋 Parametri'!C20)^(8-1)</f>
        <v>0.122987386542487</v>
      </c>
      <c r="G11" s="36">
        <f t="shared" si="1"/>
        <v>769.47965930533758</v>
      </c>
      <c r="H11" s="36">
        <f t="shared" si="2"/>
        <v>376.1900556603872</v>
      </c>
      <c r="I11" s="36">
        <f t="shared" si="3"/>
        <v>1145.6697149657248</v>
      </c>
      <c r="J11" s="36">
        <f>IF(AND(8&gt;=1,8&lt;='📋 Parametri'!C23),'📋 Parametri'!C11*'📋 Parametri'!C22/'📋 Parametri'!C23,0)</f>
        <v>600</v>
      </c>
      <c r="K11" s="36">
        <f>'📋 Parametri'!C13+IF(8='📋 Parametri'!C14,'📋 Parametri'!C15,0)</f>
        <v>120</v>
      </c>
      <c r="L11" s="36">
        <f t="shared" si="4"/>
        <v>1625.6697149657248</v>
      </c>
      <c r="M11" s="36">
        <f t="shared" si="5"/>
        <v>264.12906972325959</v>
      </c>
      <c r="N11" s="36">
        <f>L11/(1+'📋 Parametri'!C24)^8</f>
        <v>1283.3186849384469</v>
      </c>
      <c r="O11" s="36">
        <f t="shared" si="6"/>
        <v>-1266.7901648640359</v>
      </c>
      <c r="P11" s="37">
        <f t="shared" si="7"/>
        <v>1625.6697149657248</v>
      </c>
    </row>
    <row r="12" spans="1:16" ht="15.75" customHeight="1" x14ac:dyDescent="0.2">
      <c r="A12" s="28">
        <v>9</v>
      </c>
      <c r="B12" s="29">
        <f>'📋 Parametri'!C5*'📋 Parametri'!C7*'📋 Parametri'!C6*'📋 Parametri'!C8*(1-'📋 Parametri'!C9)^(9-1)</f>
        <v>5533.5919309945166</v>
      </c>
      <c r="C12" s="29">
        <f>B12*'📋 Parametri'!C19</f>
        <v>2490.1163689475325</v>
      </c>
      <c r="D12" s="29">
        <f t="shared" si="0"/>
        <v>3043.4755620469841</v>
      </c>
      <c r="E12" s="30">
        <f>'📋 Parametri'!C17*(1+'📋 Parametri'!C20)^(9-1)</f>
        <v>0.31669252034690398</v>
      </c>
      <c r="F12" s="30">
        <f>'📋 Parametri'!C18*(1+'📋 Parametri'!C20)^(9-1)</f>
        <v>0.12667700813876159</v>
      </c>
      <c r="G12" s="31">
        <f t="shared" si="1"/>
        <v>788.60122883907513</v>
      </c>
      <c r="H12" s="31">
        <f t="shared" si="2"/>
        <v>385.53837854354782</v>
      </c>
      <c r="I12" s="31">
        <f t="shared" si="3"/>
        <v>1174.1396073826229</v>
      </c>
      <c r="J12" s="31">
        <f>IF(AND(9&gt;=1,9&lt;='📋 Parametri'!C23),'📋 Parametri'!C11*'📋 Parametri'!C22/'📋 Parametri'!C23,0)</f>
        <v>600</v>
      </c>
      <c r="K12" s="31">
        <f>'📋 Parametri'!C13+IF(9='📋 Parametri'!C14,'📋 Parametri'!C15,0)</f>
        <v>120</v>
      </c>
      <c r="L12" s="31">
        <f t="shared" si="4"/>
        <v>1654.1396073826229</v>
      </c>
      <c r="M12" s="31">
        <f t="shared" si="5"/>
        <v>1918.2686771058825</v>
      </c>
      <c r="N12" s="31">
        <f>L12/(1+'📋 Parametri'!C24)^9</f>
        <v>1267.7602727303599</v>
      </c>
      <c r="O12" s="31">
        <f t="shared" si="6"/>
        <v>0.97010786632404233</v>
      </c>
      <c r="P12" s="37">
        <f t="shared" si="7"/>
        <v>1654.1396073826229</v>
      </c>
    </row>
    <row r="13" spans="1:16" ht="15.75" customHeight="1" x14ac:dyDescent="0.2">
      <c r="A13" s="33">
        <v>10</v>
      </c>
      <c r="B13" s="34">
        <f>'📋 Parametri'!C5*'📋 Parametri'!C7*'📋 Parametri'!C6*'📋 Parametri'!C8*(1-'📋 Parametri'!C9)^(10-1)</f>
        <v>5505.9239713395436</v>
      </c>
      <c r="C13" s="34">
        <f>B13*'📋 Parametri'!C19</f>
        <v>2477.6657871027946</v>
      </c>
      <c r="D13" s="34">
        <f t="shared" si="0"/>
        <v>3028.258184236749</v>
      </c>
      <c r="E13" s="35">
        <f>'📋 Parametri'!C17*(1+'📋 Parametri'!C20)^(10-1)</f>
        <v>0.32619329595731111</v>
      </c>
      <c r="F13" s="35">
        <f>'📋 Parametri'!C18*(1+'📋 Parametri'!C20)^(10-1)</f>
        <v>0.13047731838292445</v>
      </c>
      <c r="G13" s="36">
        <f t="shared" si="1"/>
        <v>808.19796937572607</v>
      </c>
      <c r="H13" s="36">
        <f t="shared" si="2"/>
        <v>395.11900725035497</v>
      </c>
      <c r="I13" s="36">
        <f t="shared" si="3"/>
        <v>1203.316976626081</v>
      </c>
      <c r="J13" s="36">
        <f>IF(AND(10&gt;=1,10&lt;='📋 Parametri'!C23),'📋 Parametri'!C11*'📋 Parametri'!C22/'📋 Parametri'!C23,0)</f>
        <v>600</v>
      </c>
      <c r="K13" s="36">
        <f>'📋 Parametri'!C13+IF(10='📋 Parametri'!C14,'📋 Parametri'!C15,0)</f>
        <v>120</v>
      </c>
      <c r="L13" s="36">
        <f t="shared" si="4"/>
        <v>1683.316976626081</v>
      </c>
      <c r="M13" s="36">
        <f t="shared" si="5"/>
        <v>3601.5856537319632</v>
      </c>
      <c r="N13" s="36">
        <f>L13/(1+'📋 Parametri'!C24)^10</f>
        <v>1252.5459191498198</v>
      </c>
      <c r="O13" s="36">
        <f t="shared" si="6"/>
        <v>1253.5160270161439</v>
      </c>
      <c r="P13" s="37">
        <f t="shared" si="7"/>
        <v>1683.316976626081</v>
      </c>
    </row>
    <row r="14" spans="1:16" ht="15.75" customHeight="1" x14ac:dyDescent="0.2">
      <c r="A14" s="28">
        <v>11</v>
      </c>
      <c r="B14" s="29">
        <f>'📋 Parametri'!C5*'📋 Parametri'!C7*'📋 Parametri'!C6*'📋 Parametri'!C8*(1-'📋 Parametri'!C9)^(11-1)</f>
        <v>5478.394351482847</v>
      </c>
      <c r="C14" s="29">
        <f>B14*'📋 Parametri'!C19</f>
        <v>2465.2774581672811</v>
      </c>
      <c r="D14" s="29">
        <f t="shared" si="0"/>
        <v>3013.1168933155659</v>
      </c>
      <c r="E14" s="30">
        <f>'📋 Parametri'!C17*(1+'📋 Parametri'!C20)^(11-1)</f>
        <v>0.33597909483603045</v>
      </c>
      <c r="F14" s="30">
        <f>'📋 Parametri'!C18*(1+'📋 Parametri'!C20)^(11-1)</f>
        <v>0.13439163793441219</v>
      </c>
      <c r="G14" s="31">
        <f t="shared" si="1"/>
        <v>828.28168891471307</v>
      </c>
      <c r="H14" s="31">
        <f t="shared" si="2"/>
        <v>404.9377145805264</v>
      </c>
      <c r="I14" s="31">
        <f t="shared" si="3"/>
        <v>1233.2194034952395</v>
      </c>
      <c r="J14" s="31">
        <f>IF(AND(11&gt;=1,11&lt;='📋 Parametri'!C23),'📋 Parametri'!C11*'📋 Parametri'!C22/'📋 Parametri'!C23,0)</f>
        <v>0</v>
      </c>
      <c r="K14" s="31">
        <f>'📋 Parametri'!C13+IF(11='📋 Parametri'!C14,'📋 Parametri'!C15,0)</f>
        <v>120</v>
      </c>
      <c r="L14" s="31">
        <f t="shared" si="4"/>
        <v>1113.2194034952395</v>
      </c>
      <c r="M14" s="31">
        <f t="shared" si="5"/>
        <v>4714.8050572272023</v>
      </c>
      <c r="N14" s="31">
        <f>L14/(1+'📋 Parametri'!C24)^11</f>
        <v>804.21338260754362</v>
      </c>
      <c r="O14" s="31">
        <f t="shared" si="6"/>
        <v>2057.7294096236874</v>
      </c>
      <c r="P14" s="37">
        <f t="shared" si="7"/>
        <v>1113.2194034952395</v>
      </c>
    </row>
    <row r="15" spans="1:16" ht="15.75" customHeight="1" x14ac:dyDescent="0.2">
      <c r="A15" s="33">
        <v>12</v>
      </c>
      <c r="B15" s="34">
        <f>'📋 Parametri'!C5*'📋 Parametri'!C7*'📋 Parametri'!C6*'📋 Parametri'!C8*(1-'📋 Parametri'!C9)^(12-1)</f>
        <v>5451.0023797254316</v>
      </c>
      <c r="C15" s="34">
        <f>B15*'📋 Parametri'!C19</f>
        <v>2452.9510708764442</v>
      </c>
      <c r="D15" s="34">
        <f t="shared" si="0"/>
        <v>2998.0513088489874</v>
      </c>
      <c r="E15" s="35">
        <f>'📋 Parametri'!C17*(1+'📋 Parametri'!C20)^(12-1)</f>
        <v>0.34605846768111137</v>
      </c>
      <c r="F15" s="35">
        <f>'📋 Parametri'!C18*(1+'📋 Parametri'!C20)^(12-1)</f>
        <v>0.13842338707244456</v>
      </c>
      <c r="G15" s="36">
        <f t="shared" si="1"/>
        <v>848.86448888424354</v>
      </c>
      <c r="H15" s="36">
        <f t="shared" si="2"/>
        <v>415.00041678785243</v>
      </c>
      <c r="I15" s="36">
        <f t="shared" si="3"/>
        <v>1263.864905672096</v>
      </c>
      <c r="J15" s="36">
        <f>IF(AND(12&gt;=1,12&lt;='📋 Parametri'!C23),'📋 Parametri'!C11*'📋 Parametri'!C22/'📋 Parametri'!C23,0)</f>
        <v>0</v>
      </c>
      <c r="K15" s="36">
        <f>'📋 Parametri'!C13+IF(12='📋 Parametri'!C14,'📋 Parametri'!C15,0)</f>
        <v>120</v>
      </c>
      <c r="L15" s="36">
        <f t="shared" si="4"/>
        <v>1143.864905672096</v>
      </c>
      <c r="M15" s="36">
        <f t="shared" si="5"/>
        <v>5858.6699628992983</v>
      </c>
      <c r="N15" s="36">
        <f>L15/(1+'📋 Parametri'!C24)^12</f>
        <v>802.2838304972413</v>
      </c>
      <c r="O15" s="36">
        <f t="shared" si="6"/>
        <v>2860.0132401209285</v>
      </c>
      <c r="P15" s="37">
        <f t="shared" si="7"/>
        <v>1143.864905672096</v>
      </c>
    </row>
    <row r="16" spans="1:16" ht="15.75" customHeight="1" x14ac:dyDescent="0.2">
      <c r="A16" s="28">
        <v>13</v>
      </c>
      <c r="B16" s="29">
        <f>'📋 Parametri'!C5*'📋 Parametri'!C7*'📋 Parametri'!C6*'📋 Parametri'!C8*(1-'📋 Parametri'!C9)^(13-1)</f>
        <v>5423.7473678268052</v>
      </c>
      <c r="C16" s="29">
        <f>B16*'📋 Parametri'!C19</f>
        <v>2440.6863155220626</v>
      </c>
      <c r="D16" s="29">
        <f t="shared" si="0"/>
        <v>2983.0610523047426</v>
      </c>
      <c r="E16" s="30">
        <f>'📋 Parametri'!C17*(1+'📋 Parametri'!C20)^(13-1)</f>
        <v>0.35644022171154466</v>
      </c>
      <c r="F16" s="30">
        <f>'📋 Parametri'!C18*(1+'📋 Parametri'!C20)^(13-1)</f>
        <v>0.14257608868461788</v>
      </c>
      <c r="G16" s="31">
        <f t="shared" si="1"/>
        <v>869.95877143301709</v>
      </c>
      <c r="H16" s="31">
        <f t="shared" si="2"/>
        <v>425.31317714503052</v>
      </c>
      <c r="I16" s="31">
        <f t="shared" si="3"/>
        <v>1295.2719485780476</v>
      </c>
      <c r="J16" s="31">
        <f>IF(AND(13&gt;=1,13&lt;='📋 Parametri'!C23),'📋 Parametri'!C11*'📋 Parametri'!C22/'📋 Parametri'!C23,0)</f>
        <v>0</v>
      </c>
      <c r="K16" s="31">
        <f>'📋 Parametri'!C13+IF(13='📋 Parametri'!C14,'📋 Parametri'!C15,0)</f>
        <v>1320</v>
      </c>
      <c r="L16" s="31">
        <f t="shared" si="4"/>
        <v>-24.728051421952387</v>
      </c>
      <c r="M16" s="31">
        <f t="shared" si="5"/>
        <v>5833.9419114773464</v>
      </c>
      <c r="N16" s="31">
        <f>L16/(1+'📋 Parametri'!C24)^13</f>
        <v>-16.838599751198686</v>
      </c>
      <c r="O16" s="31">
        <f t="shared" si="6"/>
        <v>2843.1746403697298</v>
      </c>
      <c r="P16" s="37">
        <f t="shared" si="7"/>
        <v>-24.728051421952387</v>
      </c>
    </row>
    <row r="17" spans="1:16" ht="15.75" customHeight="1" x14ac:dyDescent="0.2">
      <c r="A17" s="33">
        <v>14</v>
      </c>
      <c r="B17" s="34">
        <f>'📋 Parametri'!C5*'📋 Parametri'!C7*'📋 Parametri'!C6*'📋 Parametri'!C8*(1-'📋 Parametri'!C9)^(14-1)</f>
        <v>5396.6286309876714</v>
      </c>
      <c r="C17" s="34">
        <f>B17*'📋 Parametri'!C19</f>
        <v>2428.4828839444522</v>
      </c>
      <c r="D17" s="34">
        <f t="shared" si="0"/>
        <v>2968.1457470432192</v>
      </c>
      <c r="E17" s="35">
        <f>'📋 Parametri'!C17*(1+'📋 Parametri'!C20)^(14-1)</f>
        <v>0.36713342836289098</v>
      </c>
      <c r="F17" s="35">
        <f>'📋 Parametri'!C18*(1+'📋 Parametri'!C20)^(14-1)</f>
        <v>0.14685337134515639</v>
      </c>
      <c r="G17" s="36">
        <f t="shared" si="1"/>
        <v>891.57724690312739</v>
      </c>
      <c r="H17" s="36">
        <f t="shared" si="2"/>
        <v>435.88220959708451</v>
      </c>
      <c r="I17" s="36">
        <f t="shared" si="3"/>
        <v>1327.4594565002119</v>
      </c>
      <c r="J17" s="36">
        <f>IF(AND(14&gt;=1,14&lt;='📋 Parametri'!C23),'📋 Parametri'!C11*'📋 Parametri'!C22/'📋 Parametri'!C23,0)</f>
        <v>0</v>
      </c>
      <c r="K17" s="36">
        <f>'📋 Parametri'!C13+IF(14='📋 Parametri'!C14,'📋 Parametri'!C15,0)</f>
        <v>120</v>
      </c>
      <c r="L17" s="36">
        <f t="shared" si="4"/>
        <v>1207.4594565002119</v>
      </c>
      <c r="M17" s="36">
        <f t="shared" si="5"/>
        <v>7041.401367977558</v>
      </c>
      <c r="N17" s="36">
        <f>L17/(1+'📋 Parametri'!C24)^14</f>
        <v>798.27294649636258</v>
      </c>
      <c r="O17" s="36">
        <f t="shared" si="6"/>
        <v>3641.4475868660925</v>
      </c>
      <c r="P17" s="37">
        <f t="shared" si="7"/>
        <v>1207.4594565002119</v>
      </c>
    </row>
    <row r="18" spans="1:16" ht="15.75" customHeight="1" x14ac:dyDescent="0.2">
      <c r="A18" s="28">
        <v>15</v>
      </c>
      <c r="B18" s="29">
        <f>'📋 Parametri'!C5*'📋 Parametri'!C7*'📋 Parametri'!C6*'📋 Parametri'!C8*(1-'📋 Parametri'!C9)^(15-1)</f>
        <v>5369.6454878327331</v>
      </c>
      <c r="C18" s="29">
        <f>B18*'📋 Parametri'!C19</f>
        <v>2416.34046952473</v>
      </c>
      <c r="D18" s="29">
        <f t="shared" si="0"/>
        <v>2953.3050183080031</v>
      </c>
      <c r="E18" s="30">
        <f>'📋 Parametri'!C17*(1+'📋 Parametri'!C20)^(15-1)</f>
        <v>0.37814743121377775</v>
      </c>
      <c r="F18" s="30">
        <f>'📋 Parametri'!C18*(1+'📋 Parametri'!C20)^(15-1)</f>
        <v>0.15125897248551112</v>
      </c>
      <c r="G18" s="31">
        <f t="shared" si="1"/>
        <v>913.73294148867024</v>
      </c>
      <c r="H18" s="31">
        <f t="shared" si="2"/>
        <v>446.71388250557214</v>
      </c>
      <c r="I18" s="31">
        <f t="shared" si="3"/>
        <v>1360.4468239942423</v>
      </c>
      <c r="J18" s="31">
        <f>IF(AND(15&gt;=1,15&lt;='📋 Parametri'!C23),'📋 Parametri'!C11*'📋 Parametri'!C22/'📋 Parametri'!C23,0)</f>
        <v>0</v>
      </c>
      <c r="K18" s="31">
        <f>'📋 Parametri'!C13+IF(15='📋 Parametri'!C14,'📋 Parametri'!C15,0)</f>
        <v>120</v>
      </c>
      <c r="L18" s="31">
        <f t="shared" si="4"/>
        <v>1240.4468239942423</v>
      </c>
      <c r="M18" s="31">
        <f t="shared" si="5"/>
        <v>8281.8481919717997</v>
      </c>
      <c r="N18" s="31">
        <f>L18/(1+'📋 Parametri'!C24)^15</f>
        <v>796.19561409101789</v>
      </c>
      <c r="O18" s="31">
        <f t="shared" si="6"/>
        <v>4437.6432009571108</v>
      </c>
      <c r="P18" s="37">
        <f t="shared" si="7"/>
        <v>1240.4468239942423</v>
      </c>
    </row>
    <row r="19" spans="1:16" ht="15.75" customHeight="1" x14ac:dyDescent="0.2">
      <c r="A19" s="33">
        <v>16</v>
      </c>
      <c r="B19" s="34">
        <f>'📋 Parametri'!C5*'📋 Parametri'!C7*'📋 Parametri'!C6*'📋 Parametri'!C8*(1-'📋 Parametri'!C9)^(16-1)</f>
        <v>5342.7972603935696</v>
      </c>
      <c r="C19" s="34">
        <f>B19*'📋 Parametri'!C19</f>
        <v>2404.2587671771062</v>
      </c>
      <c r="D19" s="34">
        <f t="shared" si="0"/>
        <v>2938.5384932164634</v>
      </c>
      <c r="E19" s="35">
        <f>'📋 Parametri'!C17*(1+'📋 Parametri'!C20)^(16-1)</f>
        <v>0.38949185415019111</v>
      </c>
      <c r="F19" s="35">
        <f>'📋 Parametri'!C18*(1+'📋 Parametri'!C20)^(16-1)</f>
        <v>0.15579674166007645</v>
      </c>
      <c r="G19" s="36">
        <f t="shared" si="1"/>
        <v>936.43920508466374</v>
      </c>
      <c r="H19" s="36">
        <f t="shared" si="2"/>
        <v>457.81472248583566</v>
      </c>
      <c r="I19" s="36">
        <f t="shared" si="3"/>
        <v>1394.2539275704994</v>
      </c>
      <c r="J19" s="36">
        <f>IF(AND(16&gt;=1,16&lt;='📋 Parametri'!C23),'📋 Parametri'!C11*'📋 Parametri'!C22/'📋 Parametri'!C23,0)</f>
        <v>0</v>
      </c>
      <c r="K19" s="36">
        <f>'📋 Parametri'!C13+IF(16='📋 Parametri'!C14,'📋 Parametri'!C15,0)</f>
        <v>120</v>
      </c>
      <c r="L19" s="36">
        <f t="shared" si="4"/>
        <v>1274.2539275704994</v>
      </c>
      <c r="M19" s="36">
        <f t="shared" si="5"/>
        <v>9556.1021195422982</v>
      </c>
      <c r="N19" s="36">
        <f>L19/(1+'📋 Parametri'!C24)^16</f>
        <v>794.07291983331743</v>
      </c>
      <c r="O19" s="36">
        <f t="shared" si="6"/>
        <v>5231.7161207904282</v>
      </c>
      <c r="P19" s="37">
        <f t="shared" si="7"/>
        <v>1274.2539275704994</v>
      </c>
    </row>
    <row r="20" spans="1:16" ht="15.75" customHeight="1" x14ac:dyDescent="0.2">
      <c r="A20" s="28">
        <v>17</v>
      </c>
      <c r="B20" s="29">
        <f>'📋 Parametri'!C5*'📋 Parametri'!C7*'📋 Parametri'!C6*'📋 Parametri'!C8*(1-'📋 Parametri'!C9)^(17-1)</f>
        <v>5316.0832740916012</v>
      </c>
      <c r="C20" s="29">
        <f>B20*'📋 Parametri'!C19</f>
        <v>2392.2374733412207</v>
      </c>
      <c r="D20" s="29">
        <f t="shared" si="0"/>
        <v>2923.8458007503805</v>
      </c>
      <c r="E20" s="30">
        <f>'📋 Parametri'!C17*(1+'📋 Parametri'!C20)^(17-1)</f>
        <v>0.40117660977469677</v>
      </c>
      <c r="F20" s="30">
        <f>'📋 Parametri'!C18*(1+'📋 Parametri'!C20)^(17-1)</f>
        <v>0.16047064390987872</v>
      </c>
      <c r="G20" s="31">
        <f t="shared" si="1"/>
        <v>959.70971933101748</v>
      </c>
      <c r="H20" s="31">
        <f t="shared" si="2"/>
        <v>469.1914183396085</v>
      </c>
      <c r="I20" s="31">
        <f t="shared" si="3"/>
        <v>1428.901137670626</v>
      </c>
      <c r="J20" s="31">
        <f>IF(AND(17&gt;=1,17&lt;='📋 Parametri'!C23),'📋 Parametri'!C11*'📋 Parametri'!C22/'📋 Parametri'!C23,0)</f>
        <v>0</v>
      </c>
      <c r="K20" s="31">
        <f>'📋 Parametri'!C13+IF(17='📋 Parametri'!C14,'📋 Parametri'!C15,0)</f>
        <v>120</v>
      </c>
      <c r="L20" s="31">
        <f t="shared" si="4"/>
        <v>1308.901137670626</v>
      </c>
      <c r="M20" s="31">
        <f t="shared" si="5"/>
        <v>10865.003257212924</v>
      </c>
      <c r="N20" s="31">
        <f>L20/(1+'📋 Parametri'!C24)^17</f>
        <v>791.90671427565974</v>
      </c>
      <c r="O20" s="31">
        <f t="shared" si="6"/>
        <v>6023.6228350660876</v>
      </c>
      <c r="P20" s="37">
        <f t="shared" si="7"/>
        <v>1308.901137670626</v>
      </c>
    </row>
    <row r="21" spans="1:16" ht="15.75" customHeight="1" x14ac:dyDescent="0.2">
      <c r="A21" s="33">
        <v>18</v>
      </c>
      <c r="B21" s="34">
        <f>'📋 Parametri'!C5*'📋 Parametri'!C7*'📋 Parametri'!C6*'📋 Parametri'!C8*(1-'📋 Parametri'!C9)^(18-1)</f>
        <v>5289.5028577211433</v>
      </c>
      <c r="C21" s="34">
        <f>B21*'📋 Parametri'!C19</f>
        <v>2380.2762859745144</v>
      </c>
      <c r="D21" s="34">
        <f t="shared" si="0"/>
        <v>2909.2265717466289</v>
      </c>
      <c r="E21" s="35">
        <f>'📋 Parametri'!C17*(1+'📋 Parametri'!C20)^(18-1)</f>
        <v>0.41321190806793767</v>
      </c>
      <c r="F21" s="35">
        <f>'📋 Parametri'!C18*(1+'📋 Parametri'!C20)^(18-1)</f>
        <v>0.16528476322717509</v>
      </c>
      <c r="G21" s="36">
        <f t="shared" si="1"/>
        <v>983.55850585639314</v>
      </c>
      <c r="H21" s="36">
        <f t="shared" si="2"/>
        <v>480.85082508534782</v>
      </c>
      <c r="I21" s="36">
        <f t="shared" si="3"/>
        <v>1464.409330941741</v>
      </c>
      <c r="J21" s="36">
        <f>IF(AND(18&gt;=1,18&lt;='📋 Parametri'!C23),'📋 Parametri'!C11*'📋 Parametri'!C22/'📋 Parametri'!C23,0)</f>
        <v>0</v>
      </c>
      <c r="K21" s="36">
        <f>'📋 Parametri'!C13+IF(18='📋 Parametri'!C14,'📋 Parametri'!C15,0)</f>
        <v>120</v>
      </c>
      <c r="L21" s="36">
        <f t="shared" si="4"/>
        <v>1344.409330941741</v>
      </c>
      <c r="M21" s="36">
        <f t="shared" si="5"/>
        <v>12209.412588154664</v>
      </c>
      <c r="N21" s="36">
        <f>L21/(1+'📋 Parametri'!C24)^18</f>
        <v>789.69879142419313</v>
      </c>
      <c r="O21" s="36">
        <f t="shared" si="6"/>
        <v>6813.3216264902803</v>
      </c>
      <c r="P21" s="37">
        <f t="shared" si="7"/>
        <v>1344.409330941741</v>
      </c>
    </row>
    <row r="22" spans="1:16" ht="15.75" customHeight="1" x14ac:dyDescent="0.2">
      <c r="A22" s="28">
        <v>19</v>
      </c>
      <c r="B22" s="29">
        <f>'📋 Parametri'!C5*'📋 Parametri'!C7*'📋 Parametri'!C6*'📋 Parametri'!C8*(1-'📋 Parametri'!C9)^(19-1)</f>
        <v>5263.0553434325375</v>
      </c>
      <c r="C22" s="29">
        <f>B22*'📋 Parametri'!C19</f>
        <v>2368.374904544642</v>
      </c>
      <c r="D22" s="29">
        <f t="shared" si="0"/>
        <v>2894.6804388878954</v>
      </c>
      <c r="E22" s="30">
        <f>'📋 Parametri'!C17*(1+'📋 Parametri'!C20)^(19-1)</f>
        <v>0.42560826530997581</v>
      </c>
      <c r="F22" s="30">
        <f>'📋 Parametri'!C18*(1+'📋 Parametri'!C20)^(19-1)</f>
        <v>0.17024330612399033</v>
      </c>
      <c r="G22" s="31">
        <f t="shared" si="1"/>
        <v>1007.9999347269246</v>
      </c>
      <c r="H22" s="31">
        <f t="shared" si="2"/>
        <v>492.79996808871869</v>
      </c>
      <c r="I22" s="31">
        <f t="shared" si="3"/>
        <v>1500.7999028156432</v>
      </c>
      <c r="J22" s="31">
        <f>IF(AND(19&gt;=1,19&lt;='📋 Parametri'!C23),'📋 Parametri'!C11*'📋 Parametri'!C22/'📋 Parametri'!C23,0)</f>
        <v>0</v>
      </c>
      <c r="K22" s="31">
        <f>'📋 Parametri'!C13+IF(19='📋 Parametri'!C14,'📋 Parametri'!C15,0)</f>
        <v>120</v>
      </c>
      <c r="L22" s="31">
        <f t="shared" si="4"/>
        <v>1380.7999028156432</v>
      </c>
      <c r="M22" s="31">
        <f t="shared" si="5"/>
        <v>13590.212490970307</v>
      </c>
      <c r="N22" s="31">
        <f>L22/(1+'📋 Parametri'!C24)^19</f>
        <v>787.45089039902541</v>
      </c>
      <c r="O22" s="31">
        <f t="shared" si="6"/>
        <v>7600.7725168893057</v>
      </c>
      <c r="P22" s="37">
        <f t="shared" si="7"/>
        <v>1380.7999028156432</v>
      </c>
    </row>
    <row r="23" spans="1:16" ht="15.75" customHeight="1" x14ac:dyDescent="0.2">
      <c r="A23" s="33">
        <v>20</v>
      </c>
      <c r="B23" s="34">
        <f>'📋 Parametri'!C5*'📋 Parametri'!C7*'📋 Parametri'!C6*'📋 Parametri'!C8*(1-'📋 Parametri'!C9)^(20-1)</f>
        <v>5236.7400667153752</v>
      </c>
      <c r="C23" s="34">
        <f>B23*'📋 Parametri'!C19</f>
        <v>2356.5330300219189</v>
      </c>
      <c r="D23" s="34">
        <f t="shared" si="0"/>
        <v>2880.2070366934563</v>
      </c>
      <c r="E23" s="35">
        <f>'📋 Parametri'!C17*(1+'📋 Parametri'!C20)^(20-1)</f>
        <v>0.43837651326927507</v>
      </c>
      <c r="F23" s="35">
        <f>'📋 Parametri'!C18*(1+'📋 Parametri'!C20)^(20-1)</f>
        <v>0.17535060530771004</v>
      </c>
      <c r="G23" s="36">
        <f t="shared" si="1"/>
        <v>1033.0487331048887</v>
      </c>
      <c r="H23" s="36">
        <f t="shared" si="2"/>
        <v>505.04604729572338</v>
      </c>
      <c r="I23" s="36">
        <f t="shared" si="3"/>
        <v>1538.0947804006121</v>
      </c>
      <c r="J23" s="36">
        <f>IF(AND(20&gt;=1,20&lt;='📋 Parametri'!C23),'📋 Parametri'!C11*'📋 Parametri'!C22/'📋 Parametri'!C23,0)</f>
        <v>0</v>
      </c>
      <c r="K23" s="36">
        <f>'📋 Parametri'!C13+IF(20='📋 Parametri'!C14,'📋 Parametri'!C15,0)</f>
        <v>120</v>
      </c>
      <c r="L23" s="36">
        <f t="shared" si="4"/>
        <v>1418.0947804006121</v>
      </c>
      <c r="M23" s="36">
        <f t="shared" si="5"/>
        <v>15008.307271370919</v>
      </c>
      <c r="N23" s="36">
        <f>L23/(1+'📋 Parametri'!C24)^20</f>
        <v>785.164697046014</v>
      </c>
      <c r="O23" s="36">
        <f t="shared" si="6"/>
        <v>8385.93721393532</v>
      </c>
      <c r="P23" s="37">
        <f t="shared" si="7"/>
        <v>1418.0947804006121</v>
      </c>
    </row>
    <row r="24" spans="1:16" ht="15.75" customHeight="1" x14ac:dyDescent="0.2">
      <c r="A24" s="28">
        <v>21</v>
      </c>
      <c r="B24" s="29">
        <f>'📋 Parametri'!C5*'📋 Parametri'!C7*'📋 Parametri'!C6*'📋 Parametri'!C8*(1-'📋 Parametri'!C9)^(21-1)</f>
        <v>5210.5563663817984</v>
      </c>
      <c r="C24" s="29">
        <f>B24*'📋 Parametri'!C19</f>
        <v>2344.7503648718093</v>
      </c>
      <c r="D24" s="29">
        <f t="shared" si="0"/>
        <v>2865.8060015099891</v>
      </c>
      <c r="E24" s="30">
        <f>'📋 Parametri'!C17*(1+'📋 Parametri'!C20)^(21-1)</f>
        <v>0.45152780866735331</v>
      </c>
      <c r="F24" s="30">
        <f>'📋 Parametri'!C18*(1+'📋 Parametri'!C20)^(21-1)</f>
        <v>0.18061112346694133</v>
      </c>
      <c r="G24" s="31">
        <f t="shared" si="1"/>
        <v>1058.7199941225451</v>
      </c>
      <c r="H24" s="31">
        <f t="shared" si="2"/>
        <v>517.59644157102207</v>
      </c>
      <c r="I24" s="31">
        <f t="shared" si="3"/>
        <v>1576.3164356935672</v>
      </c>
      <c r="J24" s="31">
        <f>IF(AND(21&gt;=1,21&lt;='📋 Parametri'!C23),'📋 Parametri'!C11*'📋 Parametri'!C22/'📋 Parametri'!C23,0)</f>
        <v>0</v>
      </c>
      <c r="K24" s="31">
        <f>'📋 Parametri'!C13+IF(21='📋 Parametri'!C14,'📋 Parametri'!C15,0)</f>
        <v>120</v>
      </c>
      <c r="L24" s="31">
        <f t="shared" si="4"/>
        <v>1456.3164356935672</v>
      </c>
      <c r="M24" s="31">
        <f t="shared" si="5"/>
        <v>16464.623707064486</v>
      </c>
      <c r="N24" s="31">
        <f>L24/(1+'📋 Parametri'!C24)^21</f>
        <v>782.84184550154475</v>
      </c>
      <c r="O24" s="31">
        <f t="shared" si="6"/>
        <v>9168.7790594368653</v>
      </c>
      <c r="P24" s="37">
        <f t="shared" si="7"/>
        <v>1456.3164356935672</v>
      </c>
    </row>
    <row r="25" spans="1:16" ht="15.75" customHeight="1" x14ac:dyDescent="0.2">
      <c r="A25" s="33">
        <v>22</v>
      </c>
      <c r="B25" s="34">
        <f>'📋 Parametri'!C5*'📋 Parametri'!C7*'📋 Parametri'!C6*'📋 Parametri'!C8*(1-'📋 Parametri'!C9)^(22-1)</f>
        <v>5184.5035845498896</v>
      </c>
      <c r="C25" s="34">
        <f>B25*'📋 Parametri'!C19</f>
        <v>2333.0266130474506</v>
      </c>
      <c r="D25" s="34">
        <f t="shared" si="0"/>
        <v>2851.476971502439</v>
      </c>
      <c r="E25" s="35">
        <f>'📋 Parametri'!C17*(1+'📋 Parametri'!C20)^(22-1)</f>
        <v>0.46507364292737385</v>
      </c>
      <c r="F25" s="35">
        <f>'📋 Parametri'!C18*(1+'📋 Parametri'!C20)^(22-1)</f>
        <v>0.18602945717094954</v>
      </c>
      <c r="G25" s="36">
        <f t="shared" si="1"/>
        <v>1085.0291859764905</v>
      </c>
      <c r="H25" s="36">
        <f t="shared" si="2"/>
        <v>530.4587131440619</v>
      </c>
      <c r="I25" s="36">
        <f t="shared" si="3"/>
        <v>1615.4878991205524</v>
      </c>
      <c r="J25" s="36">
        <f>IF(AND(22&gt;=1,22&lt;='📋 Parametri'!C23),'📋 Parametri'!C11*'📋 Parametri'!C22/'📋 Parametri'!C23,0)</f>
        <v>0</v>
      </c>
      <c r="K25" s="36">
        <f>'📋 Parametri'!C13+IF(22='📋 Parametri'!C14,'📋 Parametri'!C15,0)</f>
        <v>120</v>
      </c>
      <c r="L25" s="36">
        <f t="shared" si="4"/>
        <v>1495.4878991205524</v>
      </c>
      <c r="M25" s="36">
        <f t="shared" si="5"/>
        <v>17960.111606185037</v>
      </c>
      <c r="N25" s="36">
        <f>L25/(1+'📋 Parametri'!C24)^22</f>
        <v>780.48391971166882</v>
      </c>
      <c r="O25" s="36">
        <f t="shared" si="6"/>
        <v>9949.2629791485342</v>
      </c>
      <c r="P25" s="37">
        <f t="shared" si="7"/>
        <v>1495.4878991205524</v>
      </c>
    </row>
    <row r="26" spans="1:16" ht="15.75" customHeight="1" x14ac:dyDescent="0.2">
      <c r="A26" s="28">
        <v>23</v>
      </c>
      <c r="B26" s="29">
        <f>'📋 Parametri'!C5*'📋 Parametri'!C7*'📋 Parametri'!C6*'📋 Parametri'!C8*(1-'📋 Parametri'!C9)^(23-1)</f>
        <v>5158.58106662714</v>
      </c>
      <c r="C26" s="29">
        <f>B26*'📋 Parametri'!C19</f>
        <v>2321.361479982213</v>
      </c>
      <c r="D26" s="29">
        <f t="shared" si="0"/>
        <v>2837.2195866449269</v>
      </c>
      <c r="E26" s="30">
        <f>'📋 Parametri'!C17*(1+'📋 Parametri'!C20)^(23-1)</f>
        <v>0.47902585221519511</v>
      </c>
      <c r="F26" s="30">
        <f>'📋 Parametri'!C18*(1+'📋 Parametri'!C20)^(23-1)</f>
        <v>0.19161034088607806</v>
      </c>
      <c r="G26" s="31">
        <f t="shared" si="1"/>
        <v>1111.9921612480061</v>
      </c>
      <c r="H26" s="31">
        <f t="shared" si="2"/>
        <v>543.64061216569189</v>
      </c>
      <c r="I26" s="31">
        <f t="shared" si="3"/>
        <v>1655.632773413698</v>
      </c>
      <c r="J26" s="31">
        <f>IF(AND(23&gt;=1,23&lt;='📋 Parametri'!C23),'📋 Parametri'!C11*'📋 Parametri'!C22/'📋 Parametri'!C23,0)</f>
        <v>0</v>
      </c>
      <c r="K26" s="31">
        <f>'📋 Parametri'!C13+IF(23='📋 Parametri'!C14,'📋 Parametri'!C15,0)</f>
        <v>120</v>
      </c>
      <c r="L26" s="31">
        <f t="shared" si="4"/>
        <v>1535.632773413698</v>
      </c>
      <c r="M26" s="31">
        <f t="shared" si="5"/>
        <v>19495.744379598735</v>
      </c>
      <c r="N26" s="31">
        <f>L26/(1+'📋 Parametri'!C24)^23</f>
        <v>778.09245490692774</v>
      </c>
      <c r="O26" s="31">
        <f t="shared" si="6"/>
        <v>10727.355434055462</v>
      </c>
      <c r="P26" s="37">
        <f t="shared" si="7"/>
        <v>1535.632773413698</v>
      </c>
    </row>
    <row r="27" spans="1:16" ht="15.75" customHeight="1" x14ac:dyDescent="0.2">
      <c r="A27" s="33">
        <v>24</v>
      </c>
      <c r="B27" s="34">
        <f>'📋 Parametri'!C5*'📋 Parametri'!C7*'📋 Parametri'!C6*'📋 Parametri'!C8*(1-'📋 Parametri'!C9)^(24-1)</f>
        <v>5132.7881612940037</v>
      </c>
      <c r="C27" s="34">
        <f>B27*'📋 Parametri'!C19</f>
        <v>2309.7546725823017</v>
      </c>
      <c r="D27" s="34">
        <f t="shared" si="0"/>
        <v>2823.0334887117019</v>
      </c>
      <c r="E27" s="35">
        <f>'📋 Parametri'!C17*(1+'📋 Parametri'!C20)^(24-1)</f>
        <v>0.493396627781651</v>
      </c>
      <c r="F27" s="35">
        <f>'📋 Parametri'!C18*(1+'📋 Parametri'!C20)^(24-1)</f>
        <v>0.1973586511126604</v>
      </c>
      <c r="G27" s="36">
        <f t="shared" si="1"/>
        <v>1139.6251664550191</v>
      </c>
      <c r="H27" s="36">
        <f t="shared" si="2"/>
        <v>557.1500813780093</v>
      </c>
      <c r="I27" s="36">
        <f t="shared" si="3"/>
        <v>1696.7752478330285</v>
      </c>
      <c r="J27" s="36">
        <f>IF(AND(24&gt;=1,24&lt;='📋 Parametri'!C23),'📋 Parametri'!C11*'📋 Parametri'!C22/'📋 Parametri'!C23,0)</f>
        <v>0</v>
      </c>
      <c r="K27" s="36">
        <f>'📋 Parametri'!C13+IF(24='📋 Parametri'!C14,'📋 Parametri'!C15,0)</f>
        <v>120</v>
      </c>
      <c r="L27" s="36">
        <f t="shared" si="4"/>
        <v>1576.7752478330285</v>
      </c>
      <c r="M27" s="36">
        <f t="shared" si="5"/>
        <v>21072.519627431764</v>
      </c>
      <c r="N27" s="36">
        <f>L27/(1+'📋 Parametri'!C24)^24</f>
        <v>775.66893903415769</v>
      </c>
      <c r="O27" s="36">
        <f t="shared" si="6"/>
        <v>11503.02437308962</v>
      </c>
      <c r="P27" s="37">
        <f t="shared" si="7"/>
        <v>1576.7752478330285</v>
      </c>
    </row>
    <row r="28" spans="1:16" ht="15.75" customHeight="1" x14ac:dyDescent="0.2">
      <c r="A28" s="28">
        <v>25</v>
      </c>
      <c r="B28" s="29">
        <f>'📋 Parametri'!C5*'📋 Parametri'!C7*'📋 Parametri'!C6*'📋 Parametri'!C8*(1-'📋 Parametri'!C9)^(25-1)</f>
        <v>5107.1242204875343</v>
      </c>
      <c r="C28" s="29">
        <f>B28*'📋 Parametri'!C19</f>
        <v>2298.2058992193906</v>
      </c>
      <c r="D28" s="29">
        <f t="shared" si="0"/>
        <v>2808.9183212681437</v>
      </c>
      <c r="E28" s="30">
        <f>'📋 Parametri'!C17*(1+'📋 Parametri'!C20)^(25-1)</f>
        <v>0.50819852661510045</v>
      </c>
      <c r="F28" s="30">
        <f>'📋 Parametri'!C18*(1+'📋 Parametri'!C20)^(25-1)</f>
        <v>0.20327941064604019</v>
      </c>
      <c r="G28" s="31">
        <f t="shared" si="1"/>
        <v>1167.9448518414263</v>
      </c>
      <c r="H28" s="31">
        <f t="shared" si="2"/>
        <v>570.99526090025279</v>
      </c>
      <c r="I28" s="31">
        <f t="shared" si="3"/>
        <v>1738.9401127416791</v>
      </c>
      <c r="J28" s="31">
        <f>IF(AND(25&gt;=1,25&lt;='📋 Parametri'!C23),'📋 Parametri'!C11*'📋 Parametri'!C22/'📋 Parametri'!C23,0)</f>
        <v>0</v>
      </c>
      <c r="K28" s="31">
        <f>'📋 Parametri'!C13+IF(25='📋 Parametri'!C14,'📋 Parametri'!C15,0)</f>
        <v>120</v>
      </c>
      <c r="L28" s="31">
        <f t="shared" si="4"/>
        <v>1618.9401127416791</v>
      </c>
      <c r="M28" s="31">
        <f t="shared" si="5"/>
        <v>22691.459740173443</v>
      </c>
      <c r="N28" s="31">
        <f>L28/(1+'📋 Parametri'!C24)^25</f>
        <v>773.2148141465251</v>
      </c>
      <c r="O28" s="31">
        <f t="shared" si="6"/>
        <v>12276.239187236146</v>
      </c>
      <c r="P28" s="37">
        <f t="shared" si="7"/>
        <v>1618.9401127416791</v>
      </c>
    </row>
    <row r="29" spans="1:16" ht="19.5" customHeight="1" x14ac:dyDescent="0.2">
      <c r="A29" s="38" t="s">
        <v>70</v>
      </c>
      <c r="B29" s="39">
        <f>SUM(B4:B28)</f>
        <v>135682.28012298088</v>
      </c>
      <c r="C29" s="39">
        <f>SUM(C4:C28)</f>
        <v>61057.026055341383</v>
      </c>
      <c r="D29" s="39">
        <f>SUM(D4:D28)</f>
        <v>74625.254067639486</v>
      </c>
      <c r="G29" s="40">
        <f t="shared" ref="G29:L29" si="8">SUM(G4:G28)</f>
        <v>22091.27892996724</v>
      </c>
      <c r="H29" s="40">
        <f t="shared" si="8"/>
        <v>10800.180810206206</v>
      </c>
      <c r="I29" s="40">
        <f t="shared" si="8"/>
        <v>32891.45974017345</v>
      </c>
      <c r="J29" s="40">
        <f t="shared" si="8"/>
        <v>6000</v>
      </c>
      <c r="K29" s="40">
        <f t="shared" si="8"/>
        <v>4200</v>
      </c>
      <c r="L29" s="40">
        <f t="shared" si="8"/>
        <v>34691.45974017345</v>
      </c>
      <c r="N29" s="40">
        <f>SUM(N4:N28)</f>
        <v>24276.23918723614</v>
      </c>
    </row>
  </sheetData>
  <mergeCells count="7">
    <mergeCell ref="A1:O1"/>
    <mergeCell ref="B2:D2"/>
    <mergeCell ref="E2:F2"/>
    <mergeCell ref="G2:I2"/>
    <mergeCell ref="J2:K2"/>
    <mergeCell ref="L2:M2"/>
    <mergeCell ref="N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I38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" style="10" customWidth="1"/>
    <col min="2" max="2" width="30" style="10" customWidth="1"/>
    <col min="3" max="3" width="20" style="10" customWidth="1"/>
    <col min="4" max="4" width="2" style="10" customWidth="1"/>
    <col min="5" max="8" width="20" style="10" customWidth="1"/>
    <col min="9" max="9" width="2" style="10" customWidth="1"/>
  </cols>
  <sheetData>
    <row r="1" spans="2:8" ht="30" customHeight="1" x14ac:dyDescent="0.2">
      <c r="B1" s="4" t="s">
        <v>71</v>
      </c>
      <c r="C1" s="4"/>
      <c r="D1" s="4"/>
      <c r="E1" s="4"/>
      <c r="F1" s="4"/>
      <c r="G1" s="4"/>
      <c r="H1" s="4"/>
    </row>
    <row r="3" spans="2:8" ht="19.5" customHeight="1" x14ac:dyDescent="0.2">
      <c r="B3" s="7" t="s">
        <v>72</v>
      </c>
      <c r="C3" s="7"/>
    </row>
    <row r="4" spans="2:8" ht="18" customHeight="1" x14ac:dyDescent="0.2">
      <c r="B4" s="14" t="s">
        <v>73</v>
      </c>
      <c r="C4" s="41">
        <f>'📊 Modello Annuale'!B4</f>
        <v>5760</v>
      </c>
    </row>
    <row r="5" spans="2:8" ht="18" customHeight="1" x14ac:dyDescent="0.2">
      <c r="B5" s="11" t="s">
        <v>74</v>
      </c>
      <c r="C5" s="41">
        <f>'📊 Modello Annuale'!B28</f>
        <v>5107.1242204875343</v>
      </c>
    </row>
    <row r="6" spans="2:8" ht="18" customHeight="1" x14ac:dyDescent="0.2">
      <c r="B6" s="14" t="s">
        <v>75</v>
      </c>
      <c r="C6" s="42">
        <f>'📊 Modello Annuale'!B29/1000</f>
        <v>135.68228012298087</v>
      </c>
    </row>
    <row r="7" spans="2:8" ht="18" customHeight="1" x14ac:dyDescent="0.2">
      <c r="B7" s="11" t="s">
        <v>76</v>
      </c>
      <c r="C7" s="43">
        <f>'📋 Parametri'!C11+'📋 Parametri'!C12</f>
        <v>12000</v>
      </c>
    </row>
    <row r="8" spans="2:8" ht="18" customHeight="1" x14ac:dyDescent="0.2">
      <c r="B8" s="14" t="s">
        <v>77</v>
      </c>
      <c r="C8" s="43">
        <f>'📊 Modello Annuale'!I29</f>
        <v>32891.45974017345</v>
      </c>
    </row>
    <row r="9" spans="2:8" ht="18" customHeight="1" x14ac:dyDescent="0.2">
      <c r="B9" s="11" t="s">
        <v>78</v>
      </c>
      <c r="C9" s="43">
        <f>'📊 Modello Annuale'!M28</f>
        <v>22691.459740173443</v>
      </c>
    </row>
    <row r="10" spans="2:8" ht="18" customHeight="1" x14ac:dyDescent="0.2">
      <c r="B10" s="14" t="s">
        <v>79</v>
      </c>
      <c r="C10" s="43">
        <f>'📊 Modello Annuale'!O28</f>
        <v>12276.239187236146</v>
      </c>
    </row>
    <row r="11" spans="2:8" ht="18" customHeight="1" x14ac:dyDescent="0.2">
      <c r="B11" s="11" t="s">
        <v>80</v>
      </c>
      <c r="C11" s="44">
        <f>IFERROR(IRR('📊 Modello Annuale'!P4:P28,0.1),"N/D")</f>
        <v>0.12807381949154695</v>
      </c>
    </row>
    <row r="12" spans="2:8" ht="18" customHeight="1" x14ac:dyDescent="0.2">
      <c r="B12" s="14" t="s">
        <v>81</v>
      </c>
      <c r="C12" s="42" t="str">
        <f>IFERROR(MATCH(TRUE(),'📊 Modello Annuale'!M4:M28&gt;=0,0),"&gt;25")</f>
        <v>&gt;25</v>
      </c>
    </row>
    <row r="13" spans="2:8" ht="18" customHeight="1" x14ac:dyDescent="0.2">
      <c r="B13" s="11" t="s">
        <v>82</v>
      </c>
      <c r="C13" s="45">
        <f>('📊 Modello Annuale'!I29+'📊 Modello Annuale'!J29-'📊 Modello Annuale'!K29-('📋 Parametri'!C11+'📋 Parametri'!C12))/('📋 Parametri'!C11+'📋 Parametri'!C12)</f>
        <v>1.8909549783477875</v>
      </c>
    </row>
    <row r="14" spans="2:8" ht="18" customHeight="1" x14ac:dyDescent="0.2">
      <c r="B14" s="14" t="s">
        <v>83</v>
      </c>
      <c r="C14" s="42">
        <f>'📊 Modello Annuale'!B29*0.233/1000</f>
        <v>31.613971268654545</v>
      </c>
    </row>
    <row r="15" spans="2:8" ht="18" customHeight="1" x14ac:dyDescent="0.2">
      <c r="B15" s="11" t="s">
        <v>84</v>
      </c>
      <c r="C15" s="41">
        <f>'📊 Modello Annuale'!B29*0.233/1000*50</f>
        <v>1580.6985634327273</v>
      </c>
    </row>
    <row r="17" spans="2:8" ht="9.75" customHeight="1" x14ac:dyDescent="0.2"/>
    <row r="18" spans="2:8" ht="15" customHeight="1" x14ac:dyDescent="0.2">
      <c r="B18" s="7" t="s">
        <v>85</v>
      </c>
      <c r="C18" s="7"/>
      <c r="D18" s="7"/>
      <c r="E18" s="7"/>
      <c r="F18" s="7"/>
      <c r="G18" s="7"/>
      <c r="H18" s="7"/>
    </row>
    <row r="19" spans="2:8" ht="15" customHeight="1" x14ac:dyDescent="0.2">
      <c r="B19" s="46" t="s">
        <v>86</v>
      </c>
      <c r="C19" s="46" t="s">
        <v>87</v>
      </c>
      <c r="D19" s="46" t="s">
        <v>88</v>
      </c>
      <c r="E19" s="46" t="s">
        <v>89</v>
      </c>
      <c r="F19" s="46" t="s">
        <v>90</v>
      </c>
    </row>
    <row r="20" spans="2:8" ht="15.75" customHeight="1" x14ac:dyDescent="0.2">
      <c r="B20" s="14" t="s">
        <v>91</v>
      </c>
      <c r="C20" s="47">
        <v>6</v>
      </c>
      <c r="D20" s="47">
        <v>6</v>
      </c>
      <c r="E20" s="47">
        <v>6</v>
      </c>
      <c r="F20" s="47">
        <v>6</v>
      </c>
    </row>
    <row r="21" spans="2:8" ht="15.75" customHeight="1" x14ac:dyDescent="0.2">
      <c r="B21" s="11" t="s">
        <v>92</v>
      </c>
      <c r="C21" s="47">
        <v>1</v>
      </c>
      <c r="D21" s="47">
        <v>1</v>
      </c>
      <c r="E21" s="47">
        <v>1</v>
      </c>
      <c r="F21" s="47">
        <v>0.74</v>
      </c>
    </row>
    <row r="22" spans="2:8" ht="15.75" customHeight="1" x14ac:dyDescent="0.2">
      <c r="B22" s="14" t="s">
        <v>93</v>
      </c>
      <c r="C22" s="48">
        <v>1350</v>
      </c>
      <c r="D22" s="48">
        <v>1500</v>
      </c>
      <c r="E22" s="48">
        <v>1350</v>
      </c>
      <c r="F22" s="48">
        <v>1150</v>
      </c>
    </row>
    <row r="23" spans="2:8" ht="15.75" customHeight="1" x14ac:dyDescent="0.2">
      <c r="B23" s="11" t="s">
        <v>9</v>
      </c>
      <c r="C23" s="49">
        <v>0.8</v>
      </c>
      <c r="D23" s="49">
        <v>0.83</v>
      </c>
      <c r="E23" s="49">
        <v>0.8</v>
      </c>
      <c r="F23" s="49">
        <v>0.76</v>
      </c>
    </row>
    <row r="24" spans="2:8" ht="15.75" customHeight="1" x14ac:dyDescent="0.2">
      <c r="B24" s="14" t="s">
        <v>94</v>
      </c>
      <c r="C24" s="49">
        <v>5.0000000000000001E-3</v>
      </c>
      <c r="D24" s="49">
        <v>4.0000000000000001E-3</v>
      </c>
      <c r="E24" s="49">
        <v>5.0000000000000001E-3</v>
      </c>
      <c r="F24" s="49">
        <v>7.0000000000000001E-3</v>
      </c>
    </row>
    <row r="25" spans="2:8" ht="15.75" customHeight="1" x14ac:dyDescent="0.2">
      <c r="B25" s="11" t="s">
        <v>95</v>
      </c>
      <c r="C25" s="50">
        <v>10200</v>
      </c>
      <c r="D25" s="50">
        <v>9500</v>
      </c>
      <c r="E25" s="50">
        <v>10200</v>
      </c>
      <c r="F25" s="50">
        <v>11000</v>
      </c>
    </row>
    <row r="26" spans="2:8" ht="15.75" customHeight="1" x14ac:dyDescent="0.2">
      <c r="B26" s="14" t="s">
        <v>96</v>
      </c>
      <c r="C26" s="50">
        <v>0</v>
      </c>
      <c r="D26" s="50">
        <v>0</v>
      </c>
      <c r="E26" s="50">
        <v>5000</v>
      </c>
      <c r="F26" s="50">
        <v>0</v>
      </c>
    </row>
    <row r="27" spans="2:8" ht="15.75" customHeight="1" x14ac:dyDescent="0.2">
      <c r="B27" s="11" t="s">
        <v>97</v>
      </c>
      <c r="C27" s="49">
        <v>0.25</v>
      </c>
      <c r="D27" s="49">
        <v>0.28000000000000003</v>
      </c>
      <c r="E27" s="49">
        <v>0.25</v>
      </c>
      <c r="F27" s="49">
        <v>0.22</v>
      </c>
    </row>
    <row r="28" spans="2:8" ht="15.75" customHeight="1" x14ac:dyDescent="0.2">
      <c r="B28" s="14" t="s">
        <v>98</v>
      </c>
      <c r="C28" s="49">
        <v>0.4</v>
      </c>
      <c r="D28" s="49">
        <v>0.45</v>
      </c>
      <c r="E28" s="49">
        <v>0.7</v>
      </c>
      <c r="F28" s="49">
        <v>0.3</v>
      </c>
    </row>
    <row r="29" spans="2:8" ht="15.75" customHeight="1" x14ac:dyDescent="0.2">
      <c r="B29" s="11" t="s">
        <v>99</v>
      </c>
      <c r="C29" s="49">
        <v>0.03</v>
      </c>
      <c r="D29" s="49">
        <v>0.06</v>
      </c>
      <c r="E29" s="49">
        <v>0.03</v>
      </c>
      <c r="F29" s="49">
        <v>0.01</v>
      </c>
    </row>
    <row r="30" spans="2:8" ht="15.75" customHeight="1" x14ac:dyDescent="0.2">
      <c r="B30" s="14" t="s">
        <v>100</v>
      </c>
      <c r="C30" s="49">
        <v>0.5</v>
      </c>
      <c r="D30" s="49">
        <v>0.5</v>
      </c>
      <c r="E30" s="49">
        <v>0.5</v>
      </c>
      <c r="F30" s="49">
        <v>0</v>
      </c>
    </row>
    <row r="32" spans="2:8" ht="15" customHeight="1" x14ac:dyDescent="0.2">
      <c r="B32" s="7" t="s">
        <v>101</v>
      </c>
      <c r="C32" s="7"/>
      <c r="D32" s="7"/>
      <c r="E32" s="7"/>
      <c r="F32" s="7"/>
      <c r="G32" s="7"/>
      <c r="H32" s="7"/>
    </row>
    <row r="33" spans="2:6" ht="15" customHeight="1" x14ac:dyDescent="0.2">
      <c r="B33" s="46" t="s">
        <v>102</v>
      </c>
      <c r="C33" s="46" t="s">
        <v>87</v>
      </c>
      <c r="D33" s="46" t="s">
        <v>88</v>
      </c>
      <c r="E33" s="46" t="s">
        <v>89</v>
      </c>
      <c r="F33" s="46" t="s">
        <v>90</v>
      </c>
    </row>
    <row r="34" spans="2:6" ht="15.75" customHeight="1" x14ac:dyDescent="0.2">
      <c r="B34" s="14" t="s">
        <v>73</v>
      </c>
      <c r="C34" s="51">
        <f>'🏆 KPI &amp; Scenari'!C20*'🏆 KPI &amp; Scenari'!C22*'🏆 KPI &amp; Scenari'!C21*'🏆 KPI &amp; Scenari'!C23</f>
        <v>6480</v>
      </c>
      <c r="D34" s="51">
        <f>'🏆 KPI &amp; Scenari'!D20*'🏆 KPI &amp; Scenari'!D22*'🏆 KPI &amp; Scenari'!D21*'🏆 KPI &amp; Scenari'!D23</f>
        <v>7470</v>
      </c>
      <c r="E34" s="51">
        <f>'🏆 KPI &amp; Scenari'!E20*'🏆 KPI &amp; Scenari'!E22*'🏆 KPI &amp; Scenari'!E21*'🏆 KPI &amp; Scenari'!E23</f>
        <v>6480</v>
      </c>
      <c r="F34" s="51">
        <f>'🏆 KPI &amp; Scenari'!F20*'🏆 KPI &amp; Scenari'!F22*'🏆 KPI &amp; Scenari'!F21*'🏆 KPI &amp; Scenari'!F23</f>
        <v>3880.56</v>
      </c>
    </row>
    <row r="35" spans="2:6" ht="15.75" customHeight="1" x14ac:dyDescent="0.2">
      <c r="B35" s="11" t="s">
        <v>103</v>
      </c>
      <c r="C35" s="52">
        <f>'🏆 KPI &amp; Scenari'!C25+'🏆 KPI &amp; Scenari'!C26</f>
        <v>10200</v>
      </c>
      <c r="D35" s="52">
        <f>'🏆 KPI &amp; Scenari'!D25+'🏆 KPI &amp; Scenari'!D26</f>
        <v>9500</v>
      </c>
      <c r="E35" s="52">
        <f>'🏆 KPI &amp; Scenari'!E25+'🏆 KPI &amp; Scenari'!E26</f>
        <v>15200</v>
      </c>
      <c r="F35" s="52">
        <f>'🏆 KPI &amp; Scenari'!F25+'🏆 KPI &amp; Scenari'!F26</f>
        <v>11000</v>
      </c>
    </row>
    <row r="36" spans="2:6" ht="15.75" customHeight="1" x14ac:dyDescent="0.2">
      <c r="B36" s="14" t="s">
        <v>104</v>
      </c>
      <c r="C36" s="53">
        <f>IFERROR(('🏆 KPI &amp; Scenari'!C25+'🏆 KPI &amp; Scenari'!C26)/('🏆 KPI &amp; Scenari'!C20*'🏆 KPI &amp; Scenari'!C22*'🏆 KPI &amp; Scenari'!C21*'🏆 KPI &amp; Scenari'!C23*('🏆 KPI &amp; Scenari'!C28*'🏆 KPI &amp; Scenari'!C27+(1-'🏆 KPI &amp; Scenari'!C28)*0.08)+'🏆 KPI &amp; Scenari'!C25*'🏆 KPI &amp; Scenari'!C30/10-120),"&gt;25")</f>
        <v>7.5609322184664656</v>
      </c>
      <c r="D36" s="53">
        <f>IFERROR(('🏆 KPI &amp; Scenari'!D25+'🏆 KPI &amp; Scenari'!D26)/('🏆 KPI &amp; Scenari'!D20*'🏆 KPI &amp; Scenari'!D22*'🏆 KPI &amp; Scenari'!D21*'🏆 KPI &amp; Scenari'!D23*('🏆 KPI &amp; Scenari'!D28*'🏆 KPI &amp; Scenari'!D27+(1-'🏆 KPI &amp; Scenari'!D28)*0.08)+'🏆 KPI &amp; Scenari'!D25*'🏆 KPI &amp; Scenari'!D30/10-120),"&gt;25")</f>
        <v>5.8465136316080981</v>
      </c>
      <c r="E36" s="53">
        <f>IFERROR(('🏆 KPI &amp; Scenari'!E25+'🏆 KPI &amp; Scenari'!E26)/('🏆 KPI &amp; Scenari'!E20*'🏆 KPI &amp; Scenari'!E22*'🏆 KPI &amp; Scenari'!E21*'🏆 KPI &amp; Scenari'!E23*('🏆 KPI &amp; Scenari'!E28*'🏆 KPI &amp; Scenari'!E27+(1-'🏆 KPI &amp; Scenari'!E28)*0.08)+'🏆 KPI &amp; Scenari'!E25*'🏆 KPI &amp; Scenari'!E30/10-120),"&gt;25")</f>
        <v>9.0502048204248826</v>
      </c>
      <c r="F36" s="53">
        <f>IFERROR(('🏆 KPI &amp; Scenari'!F25+'🏆 KPI &amp; Scenari'!F26)/('🏆 KPI &amp; Scenari'!F20*'🏆 KPI &amp; Scenari'!F22*'🏆 KPI &amp; Scenari'!F21*'🏆 KPI &amp; Scenari'!F23*('🏆 KPI &amp; Scenari'!F28*'🏆 KPI &amp; Scenari'!F27+(1-'🏆 KPI &amp; Scenari'!F28)*0.08)+'🏆 KPI &amp; Scenari'!F25*'🏆 KPI &amp; Scenari'!F30/10-120),"&gt;25")</f>
        <v>31.123708479275233</v>
      </c>
    </row>
    <row r="37" spans="2:6" ht="15.75" customHeight="1" x14ac:dyDescent="0.2">
      <c r="B37" s="11" t="s">
        <v>105</v>
      </c>
      <c r="C37" s="52">
        <f>'🏆 KPI &amp; Scenari'!C20*'🏆 KPI &amp; Scenari'!C22*'🏆 KPI &amp; Scenari'!C21*'🏆 KPI &amp; Scenari'!C23*('🏆 KPI &amp; Scenari'!C28*'🏆 KPI &amp; Scenari'!C27+(1-'🏆 KPI &amp; Scenari'!C28)*0.08)</f>
        <v>959.04000000000008</v>
      </c>
      <c r="D37" s="52">
        <f>'🏆 KPI &amp; Scenari'!D20*'🏆 KPI &amp; Scenari'!D22*'🏆 KPI &amp; Scenari'!D21*'🏆 KPI &amp; Scenari'!D23*('🏆 KPI &amp; Scenari'!D28*'🏆 KPI &amp; Scenari'!D27+(1-'🏆 KPI &amp; Scenari'!D28)*0.08)</f>
        <v>1269.9000000000003</v>
      </c>
      <c r="E37" s="52">
        <f>'🏆 KPI &amp; Scenari'!E20*'🏆 KPI &amp; Scenari'!E22*'🏆 KPI &amp; Scenari'!E21*'🏆 KPI &amp; Scenari'!E23*('🏆 KPI &amp; Scenari'!E28*'🏆 KPI &amp; Scenari'!E27+(1-'🏆 KPI &amp; Scenari'!E28)*0.08)</f>
        <v>1289.52</v>
      </c>
      <c r="F37" s="52">
        <f>'🏆 KPI &amp; Scenari'!F20*'🏆 KPI &amp; Scenari'!F22*'🏆 KPI &amp; Scenari'!F21*'🏆 KPI &amp; Scenari'!F23*('🏆 KPI &amp; Scenari'!F28*'🏆 KPI &amp; Scenari'!F27+(1-'🏆 KPI &amp; Scenari'!F28)*0.08)</f>
        <v>473.42831999999999</v>
      </c>
    </row>
    <row r="38" spans="2:6" ht="15.75" customHeight="1" x14ac:dyDescent="0.2">
      <c r="B38" s="14" t="s">
        <v>106</v>
      </c>
      <c r="C38" s="53">
        <f>'🏆 KPI &amp; Scenari'!C20*'🏆 KPI &amp; Scenari'!C22*'🏆 KPI &amp; Scenari'!C21*'🏆 KPI &amp; Scenari'!C23*25*0.233/1000</f>
        <v>37.746000000000002</v>
      </c>
      <c r="D38" s="53">
        <f>'🏆 KPI &amp; Scenari'!D20*'🏆 KPI &amp; Scenari'!D22*'🏆 KPI &amp; Scenari'!D21*'🏆 KPI &amp; Scenari'!D23*25*0.233/1000</f>
        <v>43.512749999999997</v>
      </c>
      <c r="E38" s="53">
        <f>'🏆 KPI &amp; Scenari'!E20*'🏆 KPI &amp; Scenari'!E22*'🏆 KPI &amp; Scenari'!E21*'🏆 KPI &amp; Scenari'!E23*25*0.233/1000</f>
        <v>37.746000000000002</v>
      </c>
      <c r="F38" s="53">
        <f>'🏆 KPI &amp; Scenari'!F20*'🏆 KPI &amp; Scenari'!F22*'🏆 KPI &amp; Scenari'!F21*'🏆 KPI &amp; Scenari'!F23*25*0.233/1000</f>
        <v>22.604262000000002</v>
      </c>
    </row>
  </sheetData>
  <mergeCells count="4">
    <mergeCell ref="B1:H1"/>
    <mergeCell ref="B3:C3"/>
    <mergeCell ref="B18:H18"/>
    <mergeCell ref="B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4513"/>
  </sheetPr>
  <dimension ref="A1:P1"/>
  <sheetViews>
    <sheetView showGridLines="0" zoomScaleNormal="100" workbookViewId="0">
      <selection sqref="A1:P1"/>
    </sheetView>
  </sheetViews>
  <sheetFormatPr baseColWidth="10" defaultColWidth="8.6640625" defaultRowHeight="15" x14ac:dyDescent="0.2"/>
  <sheetData>
    <row r="1" spans="1:16" ht="25.5" customHeight="1" x14ac:dyDescent="0.2">
      <c r="A1" s="3" t="s">
        <v>107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8888"/>
  </sheetPr>
  <dimension ref="A1:G22"/>
  <sheetViews>
    <sheetView showGridLines="0" zoomScaleNormal="100" workbookViewId="0"/>
  </sheetViews>
  <sheetFormatPr baseColWidth="10" defaultColWidth="8.6640625" defaultRowHeight="15" x14ac:dyDescent="0.2"/>
  <cols>
    <col min="1" max="1" width="2" style="10" customWidth="1"/>
    <col min="2" max="2" width="28" style="10" customWidth="1"/>
    <col min="3" max="3" width="16" style="10" customWidth="1"/>
    <col min="4" max="4" width="2" style="10" customWidth="1"/>
    <col min="5" max="5" width="30" style="10" customWidth="1"/>
    <col min="6" max="6" width="16" style="10" customWidth="1"/>
    <col min="7" max="7" width="2" style="10" customWidth="1"/>
  </cols>
  <sheetData>
    <row r="1" spans="2:6" ht="25.5" customHeight="1" x14ac:dyDescent="0.2">
      <c r="B1" s="3" t="s">
        <v>108</v>
      </c>
      <c r="C1" s="3"/>
      <c r="D1" s="3"/>
      <c r="E1" s="3"/>
      <c r="F1" s="3"/>
    </row>
    <row r="3" spans="2:6" ht="19.5" customHeight="1" x14ac:dyDescent="0.2">
      <c r="B3" s="7" t="s">
        <v>109</v>
      </c>
      <c r="C3" s="7"/>
      <c r="E3" s="7" t="s">
        <v>110</v>
      </c>
      <c r="F3" s="7"/>
    </row>
    <row r="4" spans="2:6" ht="15.75" customHeight="1" x14ac:dyDescent="0.2">
      <c r="B4" s="14" t="s">
        <v>111</v>
      </c>
      <c r="C4" s="54">
        <v>1</v>
      </c>
      <c r="E4" s="14" t="s">
        <v>112</v>
      </c>
      <c r="F4" s="48">
        <v>1150</v>
      </c>
    </row>
    <row r="5" spans="2:6" ht="15.75" customHeight="1" x14ac:dyDescent="0.2">
      <c r="B5" s="11" t="s">
        <v>113</v>
      </c>
      <c r="C5" s="54">
        <v>0.97</v>
      </c>
      <c r="E5" s="11" t="s">
        <v>114</v>
      </c>
      <c r="F5" s="48">
        <v>1350</v>
      </c>
    </row>
    <row r="6" spans="2:6" ht="15.75" customHeight="1" x14ac:dyDescent="0.2">
      <c r="B6" s="14" t="s">
        <v>115</v>
      </c>
      <c r="C6" s="54">
        <v>0.97</v>
      </c>
      <c r="E6" s="14" t="s">
        <v>116</v>
      </c>
      <c r="F6" s="48">
        <v>1500</v>
      </c>
    </row>
    <row r="7" spans="2:6" ht="15.75" customHeight="1" x14ac:dyDescent="0.2">
      <c r="B7" s="11" t="s">
        <v>117</v>
      </c>
      <c r="C7" s="54">
        <v>0.74</v>
      </c>
      <c r="E7" s="11" t="s">
        <v>118</v>
      </c>
      <c r="F7" s="48">
        <v>1600</v>
      </c>
    </row>
    <row r="8" spans="2:6" ht="15.75" customHeight="1" x14ac:dyDescent="0.2">
      <c r="B8" s="14" t="s">
        <v>119</v>
      </c>
      <c r="C8" s="54">
        <v>0.74</v>
      </c>
    </row>
    <row r="9" spans="2:6" ht="15.75" customHeight="1" x14ac:dyDescent="0.2">
      <c r="B9" s="11" t="s">
        <v>120</v>
      </c>
      <c r="C9" s="54">
        <v>0.5</v>
      </c>
    </row>
    <row r="10" spans="2:6" ht="15.75" customHeight="1" x14ac:dyDescent="0.2">
      <c r="B10" s="14" t="s">
        <v>121</v>
      </c>
      <c r="C10" s="54">
        <v>0.5</v>
      </c>
    </row>
    <row r="11" spans="2:6" ht="15.75" customHeight="1" x14ac:dyDescent="0.2">
      <c r="B11" s="11" t="s">
        <v>122</v>
      </c>
      <c r="C11" s="54">
        <v>0.4</v>
      </c>
    </row>
    <row r="13" spans="2:6" ht="9.75" customHeight="1" x14ac:dyDescent="0.2"/>
    <row r="14" spans="2:6" ht="15" customHeight="1" x14ac:dyDescent="0.2">
      <c r="B14" s="7" t="s">
        <v>123</v>
      </c>
      <c r="C14" s="7"/>
      <c r="D14" s="7"/>
      <c r="E14" s="7"/>
      <c r="F14" s="7"/>
    </row>
    <row r="15" spans="2:6" ht="18" customHeight="1" x14ac:dyDescent="0.2">
      <c r="B15" s="2" t="s">
        <v>124</v>
      </c>
      <c r="C15" s="2"/>
      <c r="D15" s="2"/>
      <c r="E15" s="2"/>
      <c r="F15" s="2"/>
    </row>
    <row r="16" spans="2:6" ht="18" customHeight="1" x14ac:dyDescent="0.2">
      <c r="B16" s="1" t="s">
        <v>125</v>
      </c>
      <c r="C16" s="1"/>
      <c r="D16" s="1"/>
      <c r="E16" s="1"/>
      <c r="F16" s="1"/>
    </row>
    <row r="17" spans="2:6" ht="18" customHeight="1" x14ac:dyDescent="0.2">
      <c r="B17" s="2" t="s">
        <v>126</v>
      </c>
      <c r="C17" s="2"/>
      <c r="D17" s="2"/>
      <c r="E17" s="2"/>
      <c r="F17" s="2"/>
    </row>
    <row r="18" spans="2:6" ht="18" customHeight="1" x14ac:dyDescent="0.2">
      <c r="B18" s="1" t="s">
        <v>127</v>
      </c>
      <c r="C18" s="1"/>
      <c r="D18" s="1"/>
      <c r="E18" s="1"/>
      <c r="F18" s="1"/>
    </row>
    <row r="19" spans="2:6" ht="18" customHeight="1" x14ac:dyDescent="0.2">
      <c r="B19" s="2" t="s">
        <v>128</v>
      </c>
      <c r="C19" s="2"/>
      <c r="D19" s="2"/>
      <c r="E19" s="2"/>
      <c r="F19" s="2"/>
    </row>
    <row r="20" spans="2:6" ht="18" customHeight="1" x14ac:dyDescent="0.2">
      <c r="B20" s="1" t="s">
        <v>129</v>
      </c>
      <c r="C20" s="1"/>
      <c r="D20" s="1"/>
      <c r="E20" s="1"/>
      <c r="F20" s="1"/>
    </row>
    <row r="21" spans="2:6" ht="18" customHeight="1" x14ac:dyDescent="0.2">
      <c r="B21" s="2" t="s">
        <v>130</v>
      </c>
      <c r="C21" s="2"/>
      <c r="D21" s="2"/>
      <c r="E21" s="2"/>
      <c r="F21" s="2"/>
    </row>
    <row r="22" spans="2:6" ht="18" customHeight="1" x14ac:dyDescent="0.2">
      <c r="B22" s="1" t="s">
        <v>131</v>
      </c>
      <c r="C22" s="1"/>
      <c r="D22" s="1"/>
      <c r="E22" s="1"/>
      <c r="F22" s="1"/>
    </row>
  </sheetData>
  <mergeCells count="12">
    <mergeCell ref="B21:F21"/>
    <mergeCell ref="B22:F22"/>
    <mergeCell ref="B16:F16"/>
    <mergeCell ref="B17:F17"/>
    <mergeCell ref="B18:F18"/>
    <mergeCell ref="B19:F19"/>
    <mergeCell ref="B20:F20"/>
    <mergeCell ref="B1:F1"/>
    <mergeCell ref="B3:C3"/>
    <mergeCell ref="E3:F3"/>
    <mergeCell ref="B14:F14"/>
    <mergeCell ref="B15:F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📋 Parametri</vt:lpstr>
      <vt:lpstr>📊 Modello Annuale</vt:lpstr>
      <vt:lpstr>🏆 KPI &amp; Scenari</vt:lpstr>
      <vt:lpstr>📈 Grafici</vt:lpstr>
      <vt:lpstr>🔧 Tabelle Riferimento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Riccardo</cp:lastModifiedBy>
  <cp:revision>2</cp:revision>
  <dcterms:created xsi:type="dcterms:W3CDTF">2026-03-14T10:23:31Z</dcterms:created>
  <dcterms:modified xsi:type="dcterms:W3CDTF">2026-03-14T11:50:56Z</dcterms:modified>
  <dc:language>en-US</dc:language>
</cp:coreProperties>
</file>